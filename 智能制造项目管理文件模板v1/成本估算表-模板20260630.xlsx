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本估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<sst xmlns="http://schemas.openxmlformats.org/spreadsheetml/2006/main" count="206" uniqueCount="102">
  <si>
    <t>成本估算表</t>
  </si>
  <si>
    <t>货币单位：元</t>
  </si>
  <si>
    <t>项目名称：</t>
  </si>
  <si>
    <t>项目模式：</t>
  </si>
  <si>
    <t>生成日期：</t>
  </si>
  <si>
    <t>2026.6.30</t>
  </si>
  <si>
    <t>物料费用</t>
  </si>
  <si>
    <t>物料名称</t>
  </si>
  <si>
    <t>品牌</t>
  </si>
  <si>
    <t>规格型号(长度单位：mm)</t>
  </si>
  <si>
    <t>单位</t>
  </si>
  <si>
    <t>数量</t>
  </si>
  <si>
    <t>含税单价</t>
  </si>
  <si>
    <t>含税总价</t>
  </si>
  <si>
    <t>备注</t>
  </si>
  <si>
    <t>滑轮</t>
  </si>
  <si>
    <t>φ45x30（精加工），材料Q235-B,镀锌，重量0.3Kg</t>
  </si>
  <si>
    <t>件</t>
  </si>
  <si>
    <t>滑轮轴</t>
  </si>
  <si>
    <t>φ10x55（精加工），材料45，镀锌，重量0.1Kg</t>
  </si>
  <si>
    <t>挡销</t>
  </si>
  <si>
    <t>挡板1</t>
  </si>
  <si>
    <t>材料Q235-B，喷塑</t>
  </si>
  <si>
    <t>挡板2</t>
  </si>
  <si>
    <t>安装接头</t>
  </si>
  <si>
    <t>45钢，镀锌</t>
  </si>
  <si>
    <t>电缸安装板</t>
  </si>
  <si>
    <t>102(长)x62（宽）x12（厚），材料Q235-B，镀锌</t>
  </si>
  <si>
    <t>电缸防护罩</t>
  </si>
  <si>
    <t>80(长)x70（宽）x180（高），钣金厚1.5mm,材料Q235-B，喷塑</t>
  </si>
  <si>
    <t>电磁锁安装板</t>
  </si>
  <si>
    <t>电磁锁防护罩</t>
  </si>
  <si>
    <t>锁舌挡板</t>
  </si>
  <si>
    <t>踢脚板</t>
  </si>
  <si>
    <t>深沟球轴承</t>
  </si>
  <si>
    <t>电动缸（整套）</t>
  </si>
  <si>
    <t>行程500mm,拉力100Kg,定位精度0.2mm,含步进电机＋减速器＋电气控制部分</t>
  </si>
  <si>
    <t>钢丝绳</t>
  </si>
  <si>
    <t>φ6</t>
  </si>
  <si>
    <t>钢丝绳固定件</t>
  </si>
  <si>
    <t>电磁锁</t>
  </si>
  <si>
    <t>LY03J-2</t>
  </si>
  <si>
    <t>标准件</t>
  </si>
  <si>
    <t>螺栓、螺母、垫圈、开口销等</t>
  </si>
  <si>
    <t>小计</t>
  </si>
  <si>
    <t>研发费用</t>
  </si>
  <si>
    <t>项目</t>
  </si>
  <si>
    <t>单价</t>
  </si>
  <si>
    <t>总价</t>
  </si>
  <si>
    <t>高级机械工程师</t>
  </si>
  <si>
    <t>人天</t>
  </si>
  <si>
    <t>1人</t>
  </si>
  <si>
    <t>中级机械工程师</t>
  </si>
  <si>
    <t>2人</t>
  </si>
  <si>
    <t>初级机械工程师</t>
  </si>
  <si>
    <t>高级电气工程师</t>
  </si>
  <si>
    <t>中级电气工程师</t>
  </si>
  <si>
    <t>初级电气工程师</t>
  </si>
  <si>
    <t>高级软件工程师</t>
  </si>
  <si>
    <t>中级软件工程师</t>
  </si>
  <si>
    <t>初级软件工程师</t>
  </si>
  <si>
    <t>体检费</t>
  </si>
  <si>
    <t>人次</t>
  </si>
  <si>
    <t>交通费</t>
  </si>
  <si>
    <t>住宿</t>
  </si>
  <si>
    <t>间晚</t>
  </si>
  <si>
    <t>出差补贴</t>
  </si>
  <si>
    <t>委托设计费</t>
  </si>
  <si>
    <t>次</t>
  </si>
  <si>
    <t>制造费用</t>
  </si>
  <si>
    <t>高级技工</t>
  </si>
  <si>
    <t>中级技工</t>
  </si>
  <si>
    <t>初级技工</t>
  </si>
  <si>
    <t>保险费</t>
  </si>
  <si>
    <t>运输</t>
  </si>
  <si>
    <t>班次</t>
  </si>
  <si>
    <t>设备租赁</t>
  </si>
  <si>
    <t>试错成本</t>
  </si>
  <si>
    <t>销售费用</t>
  </si>
  <si>
    <t>招待费</t>
  </si>
  <si>
    <t>财务费用</t>
  </si>
  <si>
    <t>日利率</t>
  </si>
  <si>
    <t>周期</t>
  </si>
  <si>
    <t>本金</t>
  </si>
  <si>
    <t>费用金额</t>
  </si>
  <si>
    <t>管理费用</t>
  </si>
  <si>
    <t>分摊</t>
  </si>
  <si>
    <t>折旧费</t>
  </si>
  <si>
    <t>月</t>
  </si>
  <si>
    <t>房租、水电、招待费、除开研发和制造的人员工资等期间费用</t>
  </si>
  <si>
    <t>成本合计</t>
  </si>
  <si>
    <t>税费金额</t>
  </si>
  <si>
    <t>变动费用</t>
  </si>
  <si>
    <t>固定费用</t>
  </si>
  <si>
    <t>利润</t>
  </si>
  <si>
    <t>利润率</t>
  </si>
  <si>
    <t>成本</t>
  </si>
  <si>
    <t>利润金额</t>
  </si>
  <si>
    <t>价格合计</t>
  </si>
  <si>
    <t>不同利润率对应的价格</t>
  </si>
  <si>
    <t>报价价格</t>
  </si>
  <si>
    <t xml:space="preserve">研发中心：                                                             制造中心：                                                            运营中心：                                                               总经理：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</si>
</sst>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"/>
    <numFmt numFmtId="177" formatCode="#,##0.00_ "/>
    <numFmt numFmtId="178" formatCode="0.00_ "/>
    <numFmt numFmtId="179" formatCode="\¥#,##0.00_);[Red]\(\¥#,##0.00\)"/>
  </numFmts>
  <fonts count="25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4E7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0" applyNumberFormat="0" applyAlignment="0" applyProtection="0">
      <alignment vertical="center"/>
    </xf>
    <xf numFmtId="0" fontId="15" fillId="7" borderId="19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  <xf numFmtId="176" fontId="24" fillId="0" borderId="0"/>
  </cellStyleXfs>
  <cellXfs count="7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Protection="1">
      <alignment vertical="center"/>
      <protection locked="0"/>
    </xf>
    <xf numFmtId="0" fontId="0" fillId="0" borderId="0" xfId="0" applyFill="1" applyProtection="1">
      <alignment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178" fontId="3" fillId="0" borderId="5" xfId="0" applyNumberFormat="1" applyFont="1" applyFill="1" applyBorder="1" applyAlignment="1">
      <alignment horizontal="center" vertical="center" wrapText="1"/>
    </xf>
    <xf numFmtId="178" fontId="3" fillId="0" borderId="6" xfId="0" applyNumberFormat="1" applyFont="1" applyFill="1" applyBorder="1" applyAlignment="1">
      <alignment horizontal="center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8" xfId="0" applyNumberFormat="1" applyFont="1" applyFill="1" applyBorder="1" applyAlignment="1">
      <alignment horizontal="center" vertical="center" wrapText="1"/>
    </xf>
    <xf numFmtId="9" fontId="2" fillId="0" borderId="10" xfId="0" applyNumberFormat="1" applyFont="1" applyFill="1" applyBorder="1" applyAlignment="1">
      <alignment horizontal="center" vertical="center" wrapText="1"/>
    </xf>
    <xf numFmtId="9" fontId="2" fillId="0" borderId="4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9" fontId="2" fillId="0" borderId="11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Fill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9" fontId="2" fillId="0" borderId="13" xfId="0" applyNumberFormat="1" applyFont="1" applyFill="1" applyBorder="1" applyAlignment="1">
      <alignment horizontal="center" vertical="center" wrapText="1"/>
    </xf>
    <xf numFmtId="9" fontId="2" fillId="0" borderId="15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1 3" xfId="49"/>
    <cellStyle name="常规 41" xfId="50"/>
  </cellStyles>
  <tableStyles count="0" defaultTableStyle="TableStyleMedium2"/>
  <colors>
    <mruColors>
      <color rgb="00C4E75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412750</xdr:colOff>
      <xdr:row>0</xdr:row>
      <xdr:rowOff>183515</xdr:rowOff>
    </xdr:from>
    <xdr:ext cx="875665" cy="224155"/>
    <xdr:sp>
      <xdr:nvSpPr>
        <xdr:cNvPr id="2" name="文本框 1"/>
        <xdr:cNvSpPr txBox="1"/>
      </xdr:nvSpPr>
      <xdr:spPr>
        <a:xfrm>
          <a:off x="9750425" y="183515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VER:20260630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zoomScale="115" zoomScaleNormal="115" topLeftCell="A74" workbookViewId="0">
      <selection activeCell="L53" sqref="L53"/>
    </sheetView>
  </sheetViews>
  <sheetFormatPr defaultColWidth="9" defaultRowHeight="13.5"/>
  <cols>
    <col min="1" max="1" width="2.38333333333333" style="1" customWidth="1"/>
    <col min="2" max="2" width="8" style="1" customWidth="1"/>
    <col min="3" max="3" width="15.75" style="1" customWidth="1"/>
    <col min="4" max="4" width="9" style="1" customWidth="1"/>
    <col min="5" max="5" width="48.9583333333333" style="1" customWidth="1"/>
    <col min="6" max="6" width="5.96666666666667" style="1" customWidth="1"/>
    <col min="7" max="7" width="4.55833333333333" style="1" customWidth="1"/>
    <col min="8" max="8" width="4.55833333333333" style="2" customWidth="1"/>
    <col min="9" max="9" width="10.3833333333333" style="1" customWidth="1"/>
    <col min="10" max="10" width="12.9833333333333" style="1" customWidth="1"/>
    <col min="11" max="11" width="17.6833333333333" style="1" customWidth="1"/>
    <col min="12" max="12" width="30.2833333333333" style="1" customWidth="1"/>
    <col min="13" max="16384" width="9" style="1"/>
  </cols>
  <sheetData>
    <row r="1" ht="33" customHeight="1" spans="1:13">
      <c r="A1" s="3" t="s">
        <v>0</v>
      </c>
      <c r="B1" s="4"/>
      <c r="C1" s="3"/>
      <c r="D1" s="3"/>
      <c r="E1" s="3"/>
      <c r="F1" s="3"/>
      <c r="G1" s="3"/>
      <c r="H1" s="3"/>
      <c r="I1" s="5"/>
      <c r="J1" s="5"/>
      <c r="K1" s="5"/>
    </row>
    <row r="2" ht="16" customHeight="1" spans="1:13">
      <c r="A2" s="6" t="s">
        <v>1</v>
      </c>
      <c r="B2" s="6"/>
      <c r="C2" s="6"/>
      <c r="D2" s="7" t="s">
        <v>2</v>
      </c>
      <c r="E2" s="8"/>
      <c r="F2" s="9" t="s">
        <v>3</v>
      </c>
      <c r="G2" s="10"/>
      <c r="H2" s="6"/>
      <c r="I2" s="7"/>
      <c r="J2" s="11" t="s">
        <v>4</v>
      </c>
      <c r="K2" s="11" t="s">
        <v>5</v>
      </c>
    </row>
    <row r="3" ht="16" customHeight="1" spans="1:13">
      <c r="A3" s="12">
        <v>1</v>
      </c>
      <c r="B3" s="13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/>
      <c r="H3" s="12" t="s">
        <v>11</v>
      </c>
      <c r="I3" s="14" t="s">
        <v>12</v>
      </c>
      <c r="J3" s="12" t="s">
        <v>13</v>
      </c>
      <c r="K3" s="14" t="s">
        <v>14</v>
      </c>
    </row>
    <row r="4" ht="16" customHeight="1" spans="1:13">
      <c r="A4" s="12"/>
      <c r="B4" s="13"/>
      <c r="C4" s="15" t="s">
        <v>15</v>
      </c>
      <c r="D4" s="15"/>
      <c r="E4" s="15" t="s">
        <v>16</v>
      </c>
      <c r="F4" s="15" t="s">
        <v>17</v>
      </c>
      <c r="G4" s="15"/>
      <c r="H4" s="15">
        <v>4</v>
      </c>
      <c r="I4" s="16">
        <v>3000</v>
      </c>
      <c r="J4" s="17">
        <f>H4*I4</f>
        <v>12000</v>
      </c>
      <c r="K4" s="14"/>
    </row>
    <row r="5" ht="16" customHeight="1" spans="1:13">
      <c r="A5" s="12"/>
      <c r="B5" s="13"/>
      <c r="C5" s="15" t="s">
        <v>18</v>
      </c>
      <c r="D5" s="15"/>
      <c r="E5" s="15" t="s">
        <v>19</v>
      </c>
      <c r="F5" s="15" t="s">
        <v>17</v>
      </c>
      <c r="G5" s="15"/>
      <c r="H5" s="15">
        <v>2</v>
      </c>
      <c r="I5" s="16">
        <v>1500</v>
      </c>
      <c r="J5" s="17">
        <f t="shared" ref="J5:J27" si="0">H5*I5</f>
        <v>3000</v>
      </c>
      <c r="K5" s="14"/>
    </row>
    <row r="6" ht="16" customHeight="1" spans="1:13">
      <c r="A6" s="12"/>
      <c r="B6" s="13"/>
      <c r="C6" s="15" t="s">
        <v>20</v>
      </c>
      <c r="D6" s="15"/>
      <c r="E6" s="15" t="s">
        <v>19</v>
      </c>
      <c r="F6" s="15" t="s">
        <v>17</v>
      </c>
      <c r="G6" s="15"/>
      <c r="H6" s="15">
        <v>8</v>
      </c>
      <c r="I6" s="16">
        <v>1500</v>
      </c>
      <c r="J6" s="17">
        <f t="shared" si="0"/>
        <v>12000</v>
      </c>
      <c r="K6" s="14"/>
    </row>
    <row r="7" ht="16" customHeight="1" spans="1:13">
      <c r="A7" s="12"/>
      <c r="B7" s="13"/>
      <c r="C7" s="15" t="s">
        <v>21</v>
      </c>
      <c r="D7" s="15"/>
      <c r="E7" s="15" t="s">
        <v>22</v>
      </c>
      <c r="F7" s="15" t="s">
        <v>17</v>
      </c>
      <c r="G7" s="15"/>
      <c r="H7" s="15">
        <v>2</v>
      </c>
      <c r="I7" s="16">
        <v>1500</v>
      </c>
      <c r="J7" s="17">
        <f t="shared" si="0"/>
        <v>3000</v>
      </c>
      <c r="K7" s="14"/>
    </row>
    <row r="8" ht="16" customHeight="1" spans="1:13">
      <c r="A8" s="12"/>
      <c r="B8" s="13"/>
      <c r="C8" s="15" t="s">
        <v>23</v>
      </c>
      <c r="D8" s="15"/>
      <c r="E8" s="15" t="s">
        <v>22</v>
      </c>
      <c r="F8" s="15" t="s">
        <v>17</v>
      </c>
      <c r="G8" s="15"/>
      <c r="H8" s="15">
        <v>2</v>
      </c>
      <c r="I8" s="16">
        <v>1500</v>
      </c>
      <c r="J8" s="17">
        <f t="shared" si="0"/>
        <v>3000</v>
      </c>
      <c r="K8" s="14"/>
      <c r="L8" s="18"/>
    </row>
    <row r="9" ht="16" customHeight="1" spans="1:13">
      <c r="A9" s="12"/>
      <c r="B9" s="13"/>
      <c r="C9" s="15" t="s">
        <v>24</v>
      </c>
      <c r="D9" s="15"/>
      <c r="E9" s="15" t="s">
        <v>25</v>
      </c>
      <c r="F9" s="15" t="s">
        <v>17</v>
      </c>
      <c r="G9" s="15"/>
      <c r="H9" s="15">
        <v>2</v>
      </c>
      <c r="I9" s="16">
        <v>1500</v>
      </c>
      <c r="J9" s="17">
        <f t="shared" si="0"/>
        <v>3000</v>
      </c>
      <c r="K9" s="14"/>
      <c r="L9" s="18"/>
    </row>
    <row r="10" ht="16" customHeight="1" spans="1:13">
      <c r="A10" s="12"/>
      <c r="B10" s="13"/>
      <c r="C10" s="15" t="s">
        <v>26</v>
      </c>
      <c r="D10" s="15"/>
      <c r="E10" s="15" t="s">
        <v>27</v>
      </c>
      <c r="F10" s="15" t="s">
        <v>17</v>
      </c>
      <c r="G10" s="15"/>
      <c r="H10" s="15">
        <v>2</v>
      </c>
      <c r="I10" s="16">
        <v>1500</v>
      </c>
      <c r="J10" s="17">
        <f t="shared" si="0"/>
        <v>3000</v>
      </c>
      <c r="K10" s="14"/>
    </row>
    <row r="11" ht="16" customHeight="1" spans="1:13">
      <c r="A11" s="12"/>
      <c r="B11" s="13"/>
      <c r="C11" s="15" t="s">
        <v>28</v>
      </c>
      <c r="D11" s="15"/>
      <c r="E11" s="15" t="s">
        <v>29</v>
      </c>
      <c r="F11" s="15" t="s">
        <v>17</v>
      </c>
      <c r="G11" s="15"/>
      <c r="H11" s="15">
        <v>2</v>
      </c>
      <c r="I11" s="16">
        <v>1500</v>
      </c>
      <c r="J11" s="17">
        <f t="shared" si="0"/>
        <v>3000</v>
      </c>
      <c r="K11" s="14"/>
      <c r="M11" s="19"/>
    </row>
    <row r="12" ht="16" customHeight="1" spans="1:13">
      <c r="A12" s="12"/>
      <c r="B12" s="13"/>
      <c r="C12" s="15" t="s">
        <v>30</v>
      </c>
      <c r="D12" s="15"/>
      <c r="E12" s="15" t="s">
        <v>22</v>
      </c>
      <c r="F12" s="15" t="s">
        <v>17</v>
      </c>
      <c r="G12" s="15"/>
      <c r="H12" s="15">
        <v>2</v>
      </c>
      <c r="I12" s="16">
        <v>1500</v>
      </c>
      <c r="J12" s="17">
        <f t="shared" si="0"/>
        <v>3000</v>
      </c>
      <c r="K12" s="14"/>
    </row>
    <row r="13" ht="16" customHeight="1" spans="1:13">
      <c r="A13" s="12"/>
      <c r="B13" s="13"/>
      <c r="C13" s="15" t="s">
        <v>31</v>
      </c>
      <c r="D13" s="15"/>
      <c r="E13" s="15" t="s">
        <v>22</v>
      </c>
      <c r="F13" s="15" t="s">
        <v>17</v>
      </c>
      <c r="G13" s="15"/>
      <c r="H13" s="15">
        <v>2</v>
      </c>
      <c r="I13" s="16">
        <v>1500</v>
      </c>
      <c r="J13" s="17">
        <f t="shared" si="0"/>
        <v>3000</v>
      </c>
      <c r="K13" s="14"/>
    </row>
    <row r="14" ht="16" customHeight="1" spans="1:13">
      <c r="A14" s="12"/>
      <c r="B14" s="13"/>
      <c r="C14" s="15" t="s">
        <v>32</v>
      </c>
      <c r="D14" s="15"/>
      <c r="E14" s="15" t="s">
        <v>22</v>
      </c>
      <c r="F14" s="15" t="s">
        <v>17</v>
      </c>
      <c r="G14" s="15"/>
      <c r="H14" s="15">
        <v>2</v>
      </c>
      <c r="I14" s="16">
        <v>1500</v>
      </c>
      <c r="J14" s="17">
        <f t="shared" si="0"/>
        <v>3000</v>
      </c>
      <c r="K14" s="14"/>
    </row>
    <row r="15" ht="16" customHeight="1" spans="1:13">
      <c r="A15" s="12"/>
      <c r="B15" s="13"/>
      <c r="C15" s="15" t="s">
        <v>33</v>
      </c>
      <c r="D15" s="15"/>
      <c r="E15" s="15" t="s">
        <v>22</v>
      </c>
      <c r="F15" s="15" t="s">
        <v>17</v>
      </c>
      <c r="G15" s="15"/>
      <c r="H15" s="15">
        <v>2</v>
      </c>
      <c r="I15" s="16">
        <v>1500</v>
      </c>
      <c r="J15" s="17">
        <f t="shared" si="0"/>
        <v>3000</v>
      </c>
      <c r="K15" s="14"/>
    </row>
    <row r="16" ht="16" customHeight="1" spans="1:13">
      <c r="A16" s="12"/>
      <c r="B16" s="13"/>
      <c r="C16" s="15" t="s">
        <v>34</v>
      </c>
      <c r="D16" s="15"/>
      <c r="E16" s="15">
        <v>61900</v>
      </c>
      <c r="F16" s="15" t="s">
        <v>17</v>
      </c>
      <c r="G16" s="15"/>
      <c r="H16" s="15">
        <v>8</v>
      </c>
      <c r="I16" s="16">
        <v>16</v>
      </c>
      <c r="J16" s="17">
        <f t="shared" si="0"/>
        <v>128</v>
      </c>
      <c r="K16" s="14"/>
    </row>
    <row r="17" ht="16" customHeight="1" spans="1:11">
      <c r="A17" s="12"/>
      <c r="B17" s="13"/>
      <c r="C17" s="15" t="s">
        <v>35</v>
      </c>
      <c r="D17" s="15"/>
      <c r="E17" s="15" t="s">
        <v>36</v>
      </c>
      <c r="F17" s="15" t="s">
        <v>17</v>
      </c>
      <c r="G17" s="15"/>
      <c r="H17" s="15">
        <v>2</v>
      </c>
      <c r="I17" s="16">
        <v>30000</v>
      </c>
      <c r="J17" s="17">
        <f t="shared" si="0"/>
        <v>60000</v>
      </c>
      <c r="K17" s="14"/>
    </row>
    <row r="18" ht="16" customHeight="1" spans="1:11">
      <c r="A18" s="12"/>
      <c r="B18" s="13"/>
      <c r="C18" s="15" t="s">
        <v>37</v>
      </c>
      <c r="D18" s="15"/>
      <c r="E18" s="15" t="s">
        <v>38</v>
      </c>
      <c r="F18" s="15" t="s">
        <v>17</v>
      </c>
      <c r="G18" s="15"/>
      <c r="H18" s="15">
        <v>4</v>
      </c>
      <c r="I18" s="16">
        <v>1500</v>
      </c>
      <c r="J18" s="17">
        <f t="shared" si="0"/>
        <v>6000</v>
      </c>
      <c r="K18" s="14"/>
    </row>
    <row r="19" ht="16" customHeight="1" spans="1:11">
      <c r="A19" s="12"/>
      <c r="B19" s="13"/>
      <c r="C19" s="15" t="s">
        <v>39</v>
      </c>
      <c r="D19" s="15"/>
      <c r="E19" s="15" t="s">
        <v>38</v>
      </c>
      <c r="F19" s="15" t="s">
        <v>17</v>
      </c>
      <c r="G19" s="15"/>
      <c r="H19" s="15">
        <v>4</v>
      </c>
      <c r="I19" s="16">
        <v>150</v>
      </c>
      <c r="J19" s="17">
        <f t="shared" si="0"/>
        <v>600</v>
      </c>
      <c r="K19" s="14"/>
    </row>
    <row r="20" ht="16" customHeight="1" spans="1:11">
      <c r="A20" s="12"/>
      <c r="B20" s="13"/>
      <c r="C20" s="15" t="s">
        <v>40</v>
      </c>
      <c r="D20" s="15"/>
      <c r="E20" s="15" t="s">
        <v>41</v>
      </c>
      <c r="F20" s="15" t="s">
        <v>17</v>
      </c>
      <c r="G20" s="15"/>
      <c r="H20" s="15">
        <v>1</v>
      </c>
      <c r="I20" s="16">
        <v>150</v>
      </c>
      <c r="J20" s="17">
        <f t="shared" si="0"/>
        <v>150</v>
      </c>
      <c r="K20" s="14"/>
    </row>
    <row r="21" ht="16" customHeight="1" spans="1:11">
      <c r="A21" s="12"/>
      <c r="B21" s="13"/>
      <c r="C21" s="15" t="s">
        <v>42</v>
      </c>
      <c r="D21" s="15"/>
      <c r="E21" s="15" t="s">
        <v>43</v>
      </c>
      <c r="F21" s="15" t="s">
        <v>17</v>
      </c>
      <c r="G21" s="15"/>
      <c r="H21" s="15">
        <v>24</v>
      </c>
      <c r="I21" s="16">
        <v>6</v>
      </c>
      <c r="J21" s="17">
        <f t="shared" si="0"/>
        <v>144</v>
      </c>
      <c r="K21" s="14"/>
    </row>
    <row r="22" ht="16" customHeight="1" spans="1:11">
      <c r="A22" s="12"/>
      <c r="B22" s="13"/>
      <c r="C22" s="15"/>
      <c r="D22" s="15"/>
      <c r="E22" s="15"/>
      <c r="F22" s="15"/>
      <c r="G22" s="15"/>
      <c r="H22" s="15"/>
      <c r="I22" s="16"/>
      <c r="J22" s="17">
        <f t="shared" si="0"/>
        <v>0</v>
      </c>
      <c r="K22" s="20"/>
    </row>
    <row r="23" ht="16" customHeight="1" spans="1:11">
      <c r="A23" s="12"/>
      <c r="B23" s="13"/>
      <c r="C23" s="15"/>
      <c r="D23" s="15"/>
      <c r="E23" s="15"/>
      <c r="F23" s="15"/>
      <c r="G23" s="15"/>
      <c r="H23" s="15"/>
      <c r="I23" s="16"/>
      <c r="J23" s="17">
        <f t="shared" si="0"/>
        <v>0</v>
      </c>
      <c r="K23" s="20"/>
    </row>
    <row r="24" ht="16" customHeight="1" spans="1:11">
      <c r="A24" s="12"/>
      <c r="B24" s="13"/>
      <c r="C24" s="15"/>
      <c r="D24" s="15"/>
      <c r="E24" s="15"/>
      <c r="F24" s="15"/>
      <c r="G24" s="15"/>
      <c r="H24" s="15"/>
      <c r="I24" s="16"/>
      <c r="J24" s="17">
        <f t="shared" si="0"/>
        <v>0</v>
      </c>
      <c r="K24" s="20"/>
    </row>
    <row r="25" ht="16" customHeight="1" spans="1:11">
      <c r="A25" s="12"/>
      <c r="B25" s="13"/>
      <c r="C25" s="15"/>
      <c r="D25" s="15"/>
      <c r="E25" s="15"/>
      <c r="F25" s="15"/>
      <c r="G25" s="15"/>
      <c r="H25" s="15"/>
      <c r="I25" s="16"/>
      <c r="J25" s="17">
        <f t="shared" si="0"/>
        <v>0</v>
      </c>
      <c r="K25" s="20"/>
    </row>
    <row r="26" ht="16" customHeight="1" spans="1:11">
      <c r="A26" s="12"/>
      <c r="B26" s="13"/>
      <c r="C26" s="15"/>
      <c r="D26" s="15"/>
      <c r="E26" s="15"/>
      <c r="F26" s="15"/>
      <c r="G26" s="15"/>
      <c r="H26" s="15"/>
      <c r="I26" s="16"/>
      <c r="J26" s="17">
        <f t="shared" si="0"/>
        <v>0</v>
      </c>
      <c r="K26" s="20"/>
    </row>
    <row r="27" ht="16" customHeight="1" spans="1:11">
      <c r="A27" s="12"/>
      <c r="B27" s="13"/>
      <c r="C27" s="15"/>
      <c r="D27" s="15"/>
      <c r="E27" s="15"/>
      <c r="F27" s="15"/>
      <c r="G27" s="15"/>
      <c r="H27" s="15"/>
      <c r="I27" s="16"/>
      <c r="J27" s="17">
        <f t="shared" si="0"/>
        <v>0</v>
      </c>
      <c r="K27" s="20"/>
    </row>
    <row r="28" ht="16" customHeight="1" spans="1:11">
      <c r="A28" s="6" t="s">
        <v>44</v>
      </c>
      <c r="B28" s="21"/>
      <c r="C28" s="22"/>
      <c r="D28" s="22"/>
      <c r="E28" s="22"/>
      <c r="F28" s="22"/>
      <c r="G28" s="22"/>
      <c r="H28" s="22"/>
      <c r="I28" s="22"/>
      <c r="J28" s="23">
        <f>SUM(J4:J27)</f>
        <v>121022</v>
      </c>
      <c r="K28" s="24"/>
    </row>
    <row r="29" ht="16" customHeight="1" spans="1:11">
      <c r="A29" s="13">
        <v>2</v>
      </c>
      <c r="B29" s="12" t="s">
        <v>45</v>
      </c>
      <c r="C29" s="12" t="s">
        <v>46</v>
      </c>
      <c r="D29" s="12"/>
      <c r="E29" s="12"/>
      <c r="F29" s="25" t="s">
        <v>10</v>
      </c>
      <c r="G29" s="26"/>
      <c r="H29" s="12" t="s">
        <v>11</v>
      </c>
      <c r="I29" s="14" t="s">
        <v>47</v>
      </c>
      <c r="J29" s="14" t="s">
        <v>48</v>
      </c>
      <c r="K29" s="14" t="s">
        <v>14</v>
      </c>
    </row>
    <row r="30" ht="16" customHeight="1" spans="1:11">
      <c r="A30" s="13"/>
      <c r="B30" s="12"/>
      <c r="C30" s="27" t="s">
        <v>49</v>
      </c>
      <c r="D30" s="27"/>
      <c r="E30" s="27"/>
      <c r="F30" s="28" t="s">
        <v>50</v>
      </c>
      <c r="G30" s="29"/>
      <c r="H30" s="15">
        <v>10</v>
      </c>
      <c r="I30" s="17"/>
      <c r="J30" s="17">
        <f>H30*I30</f>
        <v>0</v>
      </c>
      <c r="K30" s="14" t="s">
        <v>51</v>
      </c>
    </row>
    <row r="31" ht="16" customHeight="1" spans="1:11">
      <c r="A31" s="13"/>
      <c r="B31" s="12"/>
      <c r="C31" s="27" t="s">
        <v>52</v>
      </c>
      <c r="D31" s="27"/>
      <c r="E31" s="27"/>
      <c r="F31" s="28" t="s">
        <v>50</v>
      </c>
      <c r="G31" s="29"/>
      <c r="H31" s="15">
        <v>20</v>
      </c>
      <c r="I31" s="17"/>
      <c r="J31" s="17">
        <f t="shared" ref="J31:J37" si="1">H31*I31</f>
        <v>0</v>
      </c>
      <c r="K31" s="14" t="s">
        <v>53</v>
      </c>
    </row>
    <row r="32" ht="16" customHeight="1" spans="1:11">
      <c r="A32" s="13"/>
      <c r="B32" s="12"/>
      <c r="C32" s="27" t="s">
        <v>54</v>
      </c>
      <c r="D32" s="27"/>
      <c r="E32" s="27"/>
      <c r="F32" s="28" t="s">
        <v>50</v>
      </c>
      <c r="G32" s="29"/>
      <c r="H32" s="15">
        <v>10</v>
      </c>
      <c r="I32" s="17"/>
      <c r="J32" s="17">
        <f t="shared" si="1"/>
        <v>0</v>
      </c>
      <c r="K32" s="14" t="s">
        <v>51</v>
      </c>
    </row>
    <row r="33" ht="16" customHeight="1" spans="1:11">
      <c r="A33" s="13"/>
      <c r="B33" s="12"/>
      <c r="C33" s="27" t="s">
        <v>55</v>
      </c>
      <c r="D33" s="27"/>
      <c r="E33" s="27"/>
      <c r="F33" s="28" t="s">
        <v>50</v>
      </c>
      <c r="G33" s="29"/>
      <c r="H33" s="15">
        <v>2</v>
      </c>
      <c r="I33" s="17"/>
      <c r="J33" s="17">
        <f t="shared" si="1"/>
        <v>0</v>
      </c>
      <c r="K33" s="14" t="s">
        <v>51</v>
      </c>
    </row>
    <row r="34" ht="16" customHeight="1" spans="1:11">
      <c r="A34" s="13"/>
      <c r="B34" s="12"/>
      <c r="C34" s="27" t="s">
        <v>56</v>
      </c>
      <c r="D34" s="27"/>
      <c r="E34" s="27"/>
      <c r="F34" s="28" t="s">
        <v>50</v>
      </c>
      <c r="G34" s="29"/>
      <c r="H34" s="15">
        <v>5</v>
      </c>
      <c r="I34" s="17"/>
      <c r="J34" s="17">
        <f t="shared" si="1"/>
        <v>0</v>
      </c>
      <c r="K34" s="14" t="s">
        <v>51</v>
      </c>
    </row>
    <row r="35" ht="16" customHeight="1" spans="1:11">
      <c r="A35" s="13"/>
      <c r="B35" s="12"/>
      <c r="C35" s="27" t="s">
        <v>57</v>
      </c>
      <c r="D35" s="27"/>
      <c r="E35" s="27"/>
      <c r="F35" s="28" t="s">
        <v>50</v>
      </c>
      <c r="G35" s="29"/>
      <c r="H35" s="15">
        <v>5</v>
      </c>
      <c r="I35" s="17"/>
      <c r="J35" s="17">
        <f t="shared" si="1"/>
        <v>0</v>
      </c>
      <c r="K35" s="14" t="s">
        <v>51</v>
      </c>
    </row>
    <row r="36" ht="16" customHeight="1" spans="1:11">
      <c r="A36" s="13"/>
      <c r="B36" s="12"/>
      <c r="C36" s="27" t="s">
        <v>58</v>
      </c>
      <c r="D36" s="27"/>
      <c r="E36" s="27"/>
      <c r="F36" s="28" t="s">
        <v>50</v>
      </c>
      <c r="G36" s="29"/>
      <c r="H36" s="15">
        <v>2</v>
      </c>
      <c r="I36" s="17"/>
      <c r="J36" s="17">
        <f t="shared" si="1"/>
        <v>0</v>
      </c>
      <c r="K36" s="14" t="s">
        <v>51</v>
      </c>
    </row>
    <row r="37" ht="16" customHeight="1" spans="1:11">
      <c r="A37" s="13"/>
      <c r="B37" s="12"/>
      <c r="C37" s="27" t="s">
        <v>59</v>
      </c>
      <c r="D37" s="27"/>
      <c r="E37" s="27"/>
      <c r="F37" s="28" t="s">
        <v>50</v>
      </c>
      <c r="G37" s="29"/>
      <c r="H37" s="15">
        <v>5</v>
      </c>
      <c r="I37" s="17"/>
      <c r="J37" s="17">
        <f t="shared" si="1"/>
        <v>0</v>
      </c>
      <c r="K37" s="14" t="s">
        <v>51</v>
      </c>
    </row>
    <row r="38" ht="16" customHeight="1" spans="1:11">
      <c r="A38" s="13"/>
      <c r="B38" s="12"/>
      <c r="C38" s="27" t="s">
        <v>60</v>
      </c>
      <c r="D38" s="27"/>
      <c r="E38" s="27"/>
      <c r="F38" s="28" t="s">
        <v>50</v>
      </c>
      <c r="G38" s="29"/>
      <c r="H38" s="15">
        <v>5</v>
      </c>
      <c r="I38" s="17"/>
      <c r="J38" s="17">
        <f t="shared" ref="J38:J43" si="2">H38*I38</f>
        <v>0</v>
      </c>
      <c r="K38" s="14" t="s">
        <v>51</v>
      </c>
    </row>
    <row r="39" ht="16" customHeight="1" spans="1:11">
      <c r="A39" s="13"/>
      <c r="B39" s="12"/>
      <c r="C39" s="27" t="s">
        <v>61</v>
      </c>
      <c r="D39" s="27"/>
      <c r="E39" s="27"/>
      <c r="F39" s="27" t="s">
        <v>62</v>
      </c>
      <c r="G39" s="27"/>
      <c r="H39" s="15">
        <v>1</v>
      </c>
      <c r="I39" s="17"/>
      <c r="J39" s="17">
        <f t="shared" si="2"/>
        <v>0</v>
      </c>
      <c r="K39" s="14"/>
    </row>
    <row r="40" ht="16" customHeight="1" spans="1:11">
      <c r="A40" s="13"/>
      <c r="B40" s="12"/>
      <c r="C40" s="27" t="s">
        <v>63</v>
      </c>
      <c r="D40" s="27"/>
      <c r="E40" s="27"/>
      <c r="F40" s="27" t="s">
        <v>62</v>
      </c>
      <c r="G40" s="27"/>
      <c r="H40" s="15">
        <v>2</v>
      </c>
      <c r="I40" s="16"/>
      <c r="J40" s="17">
        <f t="shared" si="2"/>
        <v>0</v>
      </c>
      <c r="K40" s="14"/>
    </row>
    <row r="41" ht="16" customHeight="1" spans="1:11">
      <c r="A41" s="13"/>
      <c r="B41" s="12"/>
      <c r="C41" s="27" t="s">
        <v>64</v>
      </c>
      <c r="D41" s="27"/>
      <c r="E41" s="27"/>
      <c r="F41" s="27" t="s">
        <v>65</v>
      </c>
      <c r="G41" s="27"/>
      <c r="H41" s="15">
        <v>5</v>
      </c>
      <c r="I41" s="16"/>
      <c r="J41" s="17">
        <f t="shared" si="2"/>
        <v>0</v>
      </c>
      <c r="K41" s="14"/>
    </row>
    <row r="42" ht="16" customHeight="1" spans="1:11">
      <c r="A42" s="13"/>
      <c r="B42" s="12"/>
      <c r="C42" s="27" t="s">
        <v>66</v>
      </c>
      <c r="D42" s="27"/>
      <c r="E42" s="27"/>
      <c r="F42" s="27" t="s">
        <v>50</v>
      </c>
      <c r="G42" s="27"/>
      <c r="H42" s="15">
        <v>5</v>
      </c>
      <c r="I42" s="17"/>
      <c r="J42" s="17">
        <f t="shared" si="2"/>
        <v>0</v>
      </c>
      <c r="K42" s="14"/>
    </row>
    <row r="43" ht="16" customHeight="1" spans="1:11">
      <c r="A43" s="13"/>
      <c r="B43" s="12"/>
      <c r="C43" s="27" t="s">
        <v>67</v>
      </c>
      <c r="D43" s="27"/>
      <c r="E43" s="27"/>
      <c r="F43" s="27" t="s">
        <v>68</v>
      </c>
      <c r="G43" s="27"/>
      <c r="H43" s="15">
        <v>0</v>
      </c>
      <c r="I43" s="16"/>
      <c r="J43" s="17">
        <f t="shared" si="2"/>
        <v>0</v>
      </c>
      <c r="K43" s="14"/>
    </row>
    <row r="44" ht="16" customHeight="1" spans="1:11">
      <c r="A44" s="6" t="s">
        <v>44</v>
      </c>
      <c r="B44" s="21"/>
      <c r="C44" s="22"/>
      <c r="D44" s="22"/>
      <c r="E44" s="22"/>
      <c r="F44" s="22"/>
      <c r="G44" s="22"/>
      <c r="H44" s="22"/>
      <c r="I44" s="22"/>
      <c r="J44" s="23">
        <f>SUM(J30:J43)</f>
        <v>0</v>
      </c>
      <c r="K44" s="24"/>
    </row>
    <row r="45" ht="16" customHeight="1" spans="1:11">
      <c r="A45" s="12">
        <v>3</v>
      </c>
      <c r="B45" s="12" t="s">
        <v>69</v>
      </c>
      <c r="C45" s="12" t="s">
        <v>46</v>
      </c>
      <c r="D45" s="12"/>
      <c r="E45" s="12"/>
      <c r="F45" s="12" t="s">
        <v>10</v>
      </c>
      <c r="G45" s="12"/>
      <c r="H45" s="12" t="s">
        <v>11</v>
      </c>
      <c r="I45" s="14" t="s">
        <v>47</v>
      </c>
      <c r="J45" s="14" t="s">
        <v>48</v>
      </c>
      <c r="K45" s="14" t="s">
        <v>14</v>
      </c>
    </row>
    <row r="46" ht="16" customHeight="1" spans="1:11">
      <c r="A46" s="12"/>
      <c r="B46" s="12"/>
      <c r="C46" s="27" t="s">
        <v>70</v>
      </c>
      <c r="D46" s="27"/>
      <c r="E46" s="27"/>
      <c r="F46" s="27" t="s">
        <v>50</v>
      </c>
      <c r="G46" s="27"/>
      <c r="H46" s="15">
        <v>10</v>
      </c>
      <c r="I46" s="17"/>
      <c r="J46" s="17">
        <f>H46*I46</f>
        <v>0</v>
      </c>
      <c r="K46" s="14" t="s">
        <v>51</v>
      </c>
    </row>
    <row r="47" ht="16" customHeight="1" spans="1:11">
      <c r="A47" s="12"/>
      <c r="B47" s="12"/>
      <c r="C47" s="27" t="s">
        <v>71</v>
      </c>
      <c r="D47" s="27"/>
      <c r="E47" s="27"/>
      <c r="F47" s="27" t="s">
        <v>50</v>
      </c>
      <c r="G47" s="27"/>
      <c r="H47" s="15">
        <v>20</v>
      </c>
      <c r="I47" s="17"/>
      <c r="J47" s="17">
        <f>H47*I47</f>
        <v>0</v>
      </c>
      <c r="K47" s="14" t="s">
        <v>53</v>
      </c>
    </row>
    <row r="48" ht="16" customHeight="1" spans="1:11">
      <c r="A48" s="12"/>
      <c r="B48" s="12"/>
      <c r="C48" s="27" t="s">
        <v>72</v>
      </c>
      <c r="D48" s="27"/>
      <c r="E48" s="27"/>
      <c r="F48" s="27" t="s">
        <v>50</v>
      </c>
      <c r="G48" s="27"/>
      <c r="H48" s="15">
        <v>20</v>
      </c>
      <c r="I48" s="17"/>
      <c r="J48" s="17">
        <f>H48*I48</f>
        <v>0</v>
      </c>
      <c r="K48" s="14" t="s">
        <v>53</v>
      </c>
    </row>
    <row r="49" ht="16" customHeight="1" spans="1:11">
      <c r="A49" s="12"/>
      <c r="B49" s="12"/>
      <c r="C49" s="30" t="s">
        <v>73</v>
      </c>
      <c r="D49" s="31"/>
      <c r="E49" s="32"/>
      <c r="F49" s="30" t="s">
        <v>62</v>
      </c>
      <c r="G49" s="32"/>
      <c r="H49" s="15">
        <v>5</v>
      </c>
      <c r="I49" s="17"/>
      <c r="J49" s="17">
        <f>H49*I49</f>
        <v>0</v>
      </c>
      <c r="K49" s="14"/>
    </row>
    <row r="50" ht="16" customHeight="1" spans="1:11">
      <c r="A50" s="12"/>
      <c r="B50" s="12"/>
      <c r="C50" s="27" t="s">
        <v>61</v>
      </c>
      <c r="D50" s="27"/>
      <c r="E50" s="27"/>
      <c r="F50" s="27" t="s">
        <v>62</v>
      </c>
      <c r="G50" s="27"/>
      <c r="H50" s="15">
        <v>2</v>
      </c>
      <c r="I50" s="17"/>
      <c r="J50" s="17">
        <f t="shared" ref="J50:J56" si="3">H50*I50</f>
        <v>0</v>
      </c>
      <c r="K50" s="14"/>
    </row>
    <row r="51" ht="16" customHeight="1" spans="1:11">
      <c r="A51" s="12"/>
      <c r="B51" s="12"/>
      <c r="C51" s="27" t="s">
        <v>63</v>
      </c>
      <c r="D51" s="27"/>
      <c r="E51" s="27"/>
      <c r="F51" s="27" t="s">
        <v>62</v>
      </c>
      <c r="G51" s="27"/>
      <c r="H51" s="15">
        <v>4</v>
      </c>
      <c r="I51" s="16"/>
      <c r="J51" s="17">
        <f t="shared" si="3"/>
        <v>0</v>
      </c>
      <c r="K51" s="14"/>
    </row>
    <row r="52" ht="16" customHeight="1" spans="1:11">
      <c r="A52" s="12"/>
      <c r="B52" s="12"/>
      <c r="C52" s="27" t="s">
        <v>64</v>
      </c>
      <c r="D52" s="27"/>
      <c r="E52" s="27"/>
      <c r="F52" s="27" t="s">
        <v>65</v>
      </c>
      <c r="G52" s="27"/>
      <c r="H52" s="15">
        <v>5</v>
      </c>
      <c r="I52" s="16"/>
      <c r="J52" s="17">
        <f t="shared" si="3"/>
        <v>0</v>
      </c>
      <c r="K52" s="14"/>
    </row>
    <row r="53" ht="16" customHeight="1" spans="1:11">
      <c r="A53" s="12"/>
      <c r="B53" s="12"/>
      <c r="C53" s="27" t="s">
        <v>66</v>
      </c>
      <c r="D53" s="27"/>
      <c r="E53" s="27"/>
      <c r="F53" s="27" t="s">
        <v>50</v>
      </c>
      <c r="G53" s="27"/>
      <c r="H53" s="15">
        <v>10</v>
      </c>
      <c r="I53" s="17"/>
      <c r="J53" s="17">
        <f t="shared" si="3"/>
        <v>0</v>
      </c>
      <c r="K53" s="14"/>
    </row>
    <row r="54" ht="16" customHeight="1" spans="1:11">
      <c r="A54" s="12"/>
      <c r="B54" s="12"/>
      <c r="C54" s="27" t="s">
        <v>74</v>
      </c>
      <c r="D54" s="27"/>
      <c r="E54" s="27"/>
      <c r="F54" s="27" t="s">
        <v>75</v>
      </c>
      <c r="G54" s="27"/>
      <c r="H54" s="15">
        <v>2</v>
      </c>
      <c r="I54" s="16"/>
      <c r="J54" s="17">
        <f t="shared" si="3"/>
        <v>0</v>
      </c>
      <c r="K54" s="14"/>
    </row>
    <row r="55" ht="16" customHeight="1" spans="1:11">
      <c r="A55" s="12"/>
      <c r="B55" s="12"/>
      <c r="C55" s="27" t="s">
        <v>76</v>
      </c>
      <c r="D55" s="27"/>
      <c r="E55" s="27"/>
      <c r="F55" s="27" t="s">
        <v>75</v>
      </c>
      <c r="G55" s="27"/>
      <c r="H55" s="15">
        <v>1</v>
      </c>
      <c r="I55" s="16"/>
      <c r="J55" s="17">
        <f t="shared" si="3"/>
        <v>0</v>
      </c>
      <c r="K55" s="14"/>
    </row>
    <row r="56" ht="16" customHeight="1" spans="1:11">
      <c r="A56" s="12"/>
      <c r="B56" s="12"/>
      <c r="C56" s="27" t="s">
        <v>77</v>
      </c>
      <c r="D56" s="27"/>
      <c r="E56" s="27"/>
      <c r="F56" s="27" t="s">
        <v>68</v>
      </c>
      <c r="G56" s="27"/>
      <c r="H56" s="15">
        <v>1</v>
      </c>
      <c r="I56" s="16"/>
      <c r="J56" s="17">
        <f t="shared" si="3"/>
        <v>0</v>
      </c>
      <c r="K56" s="14"/>
    </row>
    <row r="57" ht="16" customHeight="1" spans="1:11">
      <c r="A57" s="33" t="s">
        <v>44</v>
      </c>
      <c r="B57" s="34"/>
      <c r="C57" s="33"/>
      <c r="D57" s="33"/>
      <c r="E57" s="33"/>
      <c r="F57" s="33"/>
      <c r="G57" s="33"/>
      <c r="H57" s="33"/>
      <c r="I57" s="33"/>
      <c r="J57" s="23">
        <f>SUM(J46:J56)</f>
        <v>0</v>
      </c>
      <c r="K57" s="24"/>
    </row>
    <row r="58" ht="16" customHeight="1" spans="1:11">
      <c r="A58" s="35">
        <v>4</v>
      </c>
      <c r="B58" s="35" t="s">
        <v>78</v>
      </c>
      <c r="C58" s="28" t="s">
        <v>46</v>
      </c>
      <c r="D58" s="36"/>
      <c r="E58" s="29"/>
      <c r="F58" s="28" t="s">
        <v>10</v>
      </c>
      <c r="G58" s="29"/>
      <c r="H58" s="27" t="s">
        <v>11</v>
      </c>
      <c r="I58" s="27" t="s">
        <v>47</v>
      </c>
      <c r="J58" s="27" t="s">
        <v>48</v>
      </c>
      <c r="K58" s="14" t="s">
        <v>14</v>
      </c>
    </row>
    <row r="59" ht="16" customHeight="1" spans="1:11">
      <c r="A59" s="37"/>
      <c r="B59" s="37"/>
      <c r="C59" s="27" t="s">
        <v>61</v>
      </c>
      <c r="D59" s="27"/>
      <c r="E59" s="27"/>
      <c r="F59" s="27" t="s">
        <v>62</v>
      </c>
      <c r="G59" s="27"/>
      <c r="H59" s="15">
        <v>1</v>
      </c>
      <c r="I59" s="27"/>
      <c r="J59" s="17">
        <f>H59*I59</f>
        <v>0</v>
      </c>
      <c r="K59" s="27"/>
    </row>
    <row r="60" ht="16" customHeight="1" spans="1:11">
      <c r="A60" s="37"/>
      <c r="B60" s="37"/>
      <c r="C60" s="27" t="s">
        <v>63</v>
      </c>
      <c r="D60" s="27"/>
      <c r="E60" s="27"/>
      <c r="F60" s="27" t="s">
        <v>62</v>
      </c>
      <c r="G60" s="27"/>
      <c r="H60" s="15">
        <v>4</v>
      </c>
      <c r="I60" s="27"/>
      <c r="J60" s="17">
        <f>H60*I60</f>
        <v>0</v>
      </c>
      <c r="K60" s="27" t="s">
        <v>51</v>
      </c>
    </row>
    <row r="61" ht="16" customHeight="1" spans="1:11">
      <c r="A61" s="37"/>
      <c r="B61" s="37"/>
      <c r="C61" s="27" t="s">
        <v>64</v>
      </c>
      <c r="D61" s="27"/>
      <c r="E61" s="27"/>
      <c r="F61" s="27" t="s">
        <v>65</v>
      </c>
      <c r="G61" s="27"/>
      <c r="H61" s="15">
        <v>3</v>
      </c>
      <c r="I61" s="27"/>
      <c r="J61" s="17">
        <f>H61*I61</f>
        <v>0</v>
      </c>
      <c r="K61" s="27"/>
    </row>
    <row r="62" ht="16" customHeight="1" spans="1:11">
      <c r="A62" s="37"/>
      <c r="B62" s="37"/>
      <c r="C62" s="27" t="s">
        <v>66</v>
      </c>
      <c r="D62" s="27"/>
      <c r="E62" s="27"/>
      <c r="F62" s="27" t="s">
        <v>50</v>
      </c>
      <c r="G62" s="27"/>
      <c r="H62" s="15">
        <v>3</v>
      </c>
      <c r="I62" s="27"/>
      <c r="J62" s="17">
        <f>H62*I62</f>
        <v>0</v>
      </c>
      <c r="K62" s="27"/>
    </row>
    <row r="63" ht="16" customHeight="1" spans="1:11">
      <c r="A63" s="38"/>
      <c r="B63" s="38"/>
      <c r="C63" s="28" t="s">
        <v>79</v>
      </c>
      <c r="D63" s="36"/>
      <c r="E63" s="36"/>
      <c r="F63" s="28" t="s">
        <v>68</v>
      </c>
      <c r="G63" s="29"/>
      <c r="H63" s="15">
        <v>2</v>
      </c>
      <c r="I63" s="27"/>
      <c r="J63" s="17">
        <f>H63*I63</f>
        <v>0</v>
      </c>
      <c r="K63" s="27"/>
    </row>
    <row r="64" ht="16" customHeight="1" spans="1:11">
      <c r="A64" s="33" t="s">
        <v>44</v>
      </c>
      <c r="B64" s="34"/>
      <c r="C64" s="39"/>
      <c r="D64" s="40"/>
      <c r="E64" s="40"/>
      <c r="F64" s="40"/>
      <c r="G64" s="40"/>
      <c r="H64" s="40"/>
      <c r="I64" s="41"/>
      <c r="J64" s="23">
        <f>SUM(J59:J63)</f>
        <v>0</v>
      </c>
      <c r="K64" s="33"/>
    </row>
    <row r="65" ht="16" customHeight="1" spans="1:11">
      <c r="A65" s="12">
        <v>5</v>
      </c>
      <c r="B65" s="12" t="s">
        <v>80</v>
      </c>
      <c r="C65" s="12" t="s">
        <v>46</v>
      </c>
      <c r="D65" s="12"/>
      <c r="E65" s="12"/>
      <c r="F65" s="12" t="s">
        <v>81</v>
      </c>
      <c r="G65" s="12"/>
      <c r="H65" s="12" t="s">
        <v>82</v>
      </c>
      <c r="I65" s="14" t="s">
        <v>83</v>
      </c>
      <c r="J65" s="14" t="s">
        <v>84</v>
      </c>
      <c r="K65" s="14" t="s">
        <v>14</v>
      </c>
    </row>
    <row r="66" ht="16" customHeight="1" spans="1:11">
      <c r="A66" s="12"/>
      <c r="B66" s="12"/>
      <c r="C66" s="12" t="s">
        <v>80</v>
      </c>
      <c r="D66" s="12"/>
      <c r="E66" s="12"/>
      <c r="F66" s="42">
        <v>0.0002</v>
      </c>
      <c r="G66" s="42"/>
      <c r="H66" s="43">
        <v>90</v>
      </c>
      <c r="I66" s="17">
        <f>J28</f>
        <v>121022</v>
      </c>
      <c r="J66" s="17">
        <f>F66*H66*I66</f>
        <v>2178.396</v>
      </c>
      <c r="K66" s="44"/>
    </row>
    <row r="67" ht="16" customHeight="1" spans="1:11">
      <c r="A67" s="33" t="s">
        <v>44</v>
      </c>
      <c r="B67" s="33"/>
      <c r="C67" s="33"/>
      <c r="D67" s="33"/>
      <c r="E67" s="33"/>
      <c r="F67" s="33"/>
      <c r="G67" s="33"/>
      <c r="H67" s="33"/>
      <c r="I67" s="33"/>
      <c r="J67" s="23">
        <f>SUM(J66:J66)</f>
        <v>2178.396</v>
      </c>
      <c r="K67" s="45"/>
    </row>
    <row r="68" ht="16" customHeight="1" spans="1:11">
      <c r="A68" s="12">
        <v>6</v>
      </c>
      <c r="B68" s="12" t="s">
        <v>85</v>
      </c>
      <c r="C68" s="12" t="s">
        <v>46</v>
      </c>
      <c r="D68" s="12"/>
      <c r="E68" s="12"/>
      <c r="F68" s="12" t="s">
        <v>10</v>
      </c>
      <c r="G68" s="12" t="s">
        <v>86</v>
      </c>
      <c r="H68" s="12" t="s">
        <v>11</v>
      </c>
      <c r="I68" s="14" t="s">
        <v>47</v>
      </c>
      <c r="J68" s="44" t="s">
        <v>48</v>
      </c>
      <c r="K68" s="14" t="s">
        <v>14</v>
      </c>
    </row>
    <row r="69" ht="16" customHeight="1" spans="1:11">
      <c r="A69" s="12"/>
      <c r="B69" s="12"/>
      <c r="C69" s="25" t="s">
        <v>87</v>
      </c>
      <c r="D69" s="46"/>
      <c r="E69" s="26"/>
      <c r="F69" s="12" t="s">
        <v>88</v>
      </c>
      <c r="G69" s="43">
        <v>0.2</v>
      </c>
      <c r="H69" s="43">
        <v>3</v>
      </c>
      <c r="I69" s="14"/>
      <c r="J69" s="17">
        <f>G69*H69*I69</f>
        <v>0</v>
      </c>
      <c r="K69" s="14"/>
    </row>
    <row r="70" ht="16" customHeight="1" spans="1:11">
      <c r="A70" s="12"/>
      <c r="B70" s="12"/>
      <c r="C70" s="12" t="s">
        <v>89</v>
      </c>
      <c r="D70" s="12"/>
      <c r="E70" s="12"/>
      <c r="F70" s="12" t="s">
        <v>88</v>
      </c>
      <c r="G70" s="43">
        <v>0.2</v>
      </c>
      <c r="H70" s="43">
        <v>3</v>
      </c>
      <c r="I70" s="17"/>
      <c r="J70" s="17">
        <f>G70*H70*I70</f>
        <v>0</v>
      </c>
      <c r="K70" s="44"/>
    </row>
    <row r="71" ht="16" customHeight="1" spans="1:11">
      <c r="A71" s="33" t="s">
        <v>44</v>
      </c>
      <c r="B71" s="34"/>
      <c r="C71" s="33"/>
      <c r="D71" s="33"/>
      <c r="E71" s="33"/>
      <c r="F71" s="33"/>
      <c r="G71" s="33"/>
      <c r="H71" s="33"/>
      <c r="I71" s="33"/>
      <c r="J71" s="23">
        <f>SUM(J70:J70)</f>
        <v>0</v>
      </c>
      <c r="K71" s="24"/>
    </row>
    <row r="72" ht="16" customHeight="1" spans="1:11">
      <c r="A72" s="12">
        <v>7</v>
      </c>
      <c r="B72" s="12" t="s">
        <v>90</v>
      </c>
      <c r="C72" s="26" t="s">
        <v>46</v>
      </c>
      <c r="D72" s="12"/>
      <c r="E72" s="12"/>
      <c r="F72" s="12"/>
      <c r="G72" s="12"/>
      <c r="H72" s="12"/>
      <c r="I72" s="14"/>
      <c r="J72" s="14" t="s">
        <v>91</v>
      </c>
      <c r="K72" s="14" t="s">
        <v>14</v>
      </c>
    </row>
    <row r="73" ht="16" customHeight="1" spans="1:11">
      <c r="A73" s="12"/>
      <c r="B73" s="12"/>
      <c r="C73" s="26" t="s">
        <v>92</v>
      </c>
      <c r="D73" s="12"/>
      <c r="E73" s="12"/>
      <c r="F73" s="47"/>
      <c r="G73" s="47"/>
      <c r="H73" s="47"/>
      <c r="I73" s="17"/>
      <c r="J73" s="17">
        <f>J28+J44+J57+J64+J67</f>
        <v>123200.396</v>
      </c>
      <c r="K73" s="14"/>
    </row>
    <row r="74" ht="16" customHeight="1" spans="1:11">
      <c r="A74" s="12"/>
      <c r="B74" s="12"/>
      <c r="C74" s="48" t="s">
        <v>93</v>
      </c>
      <c r="D74" s="49"/>
      <c r="E74" s="49"/>
      <c r="F74" s="47"/>
      <c r="G74" s="47"/>
      <c r="H74" s="47"/>
      <c r="I74" s="17"/>
      <c r="J74" s="17">
        <f>J71</f>
        <v>0</v>
      </c>
      <c r="K74" s="14"/>
    </row>
    <row r="75" ht="16" customHeight="1" spans="1:11">
      <c r="A75" s="33" t="s">
        <v>44</v>
      </c>
      <c r="B75" s="33"/>
      <c r="C75" s="50"/>
      <c r="D75" s="50"/>
      <c r="E75" s="50"/>
      <c r="F75" s="50"/>
      <c r="G75" s="50"/>
      <c r="H75" s="50"/>
      <c r="I75" s="50"/>
      <c r="J75" s="24">
        <f>SUM(J73:J74)</f>
        <v>123200.396</v>
      </c>
      <c r="K75" s="24"/>
    </row>
    <row r="76" ht="16" customHeight="1" spans="1:11">
      <c r="A76" s="12">
        <v>8</v>
      </c>
      <c r="B76" s="12" t="s">
        <v>94</v>
      </c>
      <c r="C76" s="12" t="s">
        <v>46</v>
      </c>
      <c r="D76" s="12"/>
      <c r="E76" s="12"/>
      <c r="F76" s="12" t="s">
        <v>95</v>
      </c>
      <c r="G76" s="12"/>
      <c r="H76" s="12"/>
      <c r="I76" s="12" t="s">
        <v>96</v>
      </c>
      <c r="J76" s="14" t="s">
        <v>97</v>
      </c>
      <c r="K76" s="14" t="s">
        <v>14</v>
      </c>
    </row>
    <row r="77" ht="16" customHeight="1" spans="1:11">
      <c r="A77" s="12"/>
      <c r="B77" s="12"/>
      <c r="C77" s="25"/>
      <c r="D77" s="46"/>
      <c r="E77" s="26"/>
      <c r="F77" s="47">
        <v>0</v>
      </c>
      <c r="G77" s="47"/>
      <c r="H77" s="47"/>
      <c r="I77" s="51">
        <f>J75</f>
        <v>123200.396</v>
      </c>
      <c r="J77" s="17">
        <f>I63/(1-F77)*F77</f>
        <v>0</v>
      </c>
      <c r="K77" s="14"/>
    </row>
    <row r="78" ht="16" customHeight="1" spans="1:11">
      <c r="A78" s="12"/>
      <c r="B78" s="12"/>
      <c r="C78" s="25"/>
      <c r="D78" s="46"/>
      <c r="E78" s="26"/>
      <c r="F78" s="47">
        <v>0.0500000000000001</v>
      </c>
      <c r="G78" s="47"/>
      <c r="H78" s="47"/>
      <c r="I78" s="52"/>
      <c r="J78" s="17">
        <f>I77/(1-F78)*F78</f>
        <v>6484.23136842106</v>
      </c>
      <c r="K78" s="14"/>
    </row>
    <row r="79" ht="16" customHeight="1" spans="1:11">
      <c r="A79" s="12"/>
      <c r="B79" s="12"/>
      <c r="C79" s="25"/>
      <c r="D79" s="46"/>
      <c r="E79" s="26"/>
      <c r="F79" s="47">
        <v>0.1</v>
      </c>
      <c r="G79" s="47"/>
      <c r="H79" s="47"/>
      <c r="I79" s="52"/>
      <c r="J79" s="17">
        <f>I77/(1-F79)*F79</f>
        <v>13688.9328888889</v>
      </c>
      <c r="K79" s="14"/>
    </row>
    <row r="80" ht="16" customHeight="1" spans="1:11">
      <c r="A80" s="12"/>
      <c r="B80" s="12"/>
      <c r="C80" s="25"/>
      <c r="D80" s="46"/>
      <c r="E80" s="26"/>
      <c r="F80" s="47">
        <v>0.15</v>
      </c>
      <c r="G80" s="47"/>
      <c r="H80" s="47"/>
      <c r="I80" s="52"/>
      <c r="J80" s="17">
        <f>I77/(1-F80)*F80</f>
        <v>21741.2463529412</v>
      </c>
      <c r="K80" s="14"/>
    </row>
    <row r="81" ht="16" customHeight="1" spans="1:12">
      <c r="A81" s="12"/>
      <c r="B81" s="12"/>
      <c r="C81" s="25"/>
      <c r="D81" s="46"/>
      <c r="E81" s="26"/>
      <c r="F81" s="47">
        <v>0.2</v>
      </c>
      <c r="G81" s="47"/>
      <c r="H81" s="47"/>
      <c r="I81" s="52"/>
      <c r="J81" s="17">
        <f>I77/(1-F81)*F81</f>
        <v>30800.099</v>
      </c>
      <c r="K81" s="14"/>
    </row>
    <row r="82" ht="16" customHeight="1" spans="1:12">
      <c r="A82" s="12"/>
      <c r="B82" s="12"/>
      <c r="C82" s="25"/>
      <c r="D82" s="46"/>
      <c r="E82" s="26"/>
      <c r="F82" s="47">
        <v>0.25</v>
      </c>
      <c r="G82" s="47"/>
      <c r="H82" s="47"/>
      <c r="I82" s="52"/>
      <c r="J82" s="17">
        <f>I77/(1-F82)*F82</f>
        <v>41066.7986666667</v>
      </c>
      <c r="K82" s="14"/>
    </row>
    <row r="83" ht="16" customHeight="1" spans="1:12">
      <c r="A83" s="12"/>
      <c r="B83" s="12"/>
      <c r="C83" s="25"/>
      <c r="D83" s="46"/>
      <c r="E83" s="26"/>
      <c r="F83" s="47">
        <v>0.3</v>
      </c>
      <c r="G83" s="47"/>
      <c r="H83" s="47"/>
      <c r="I83" s="52"/>
      <c r="J83" s="17">
        <f>I77/(1-F83)*F83</f>
        <v>52800.1697142857</v>
      </c>
      <c r="K83" s="14"/>
    </row>
    <row r="84" ht="16" customHeight="1" spans="1:12">
      <c r="A84" s="12"/>
      <c r="B84" s="12"/>
      <c r="C84" s="25"/>
      <c r="D84" s="46"/>
      <c r="E84" s="26"/>
      <c r="F84" s="47">
        <v>0.35</v>
      </c>
      <c r="G84" s="47"/>
      <c r="H84" s="47"/>
      <c r="I84" s="52"/>
      <c r="J84" s="17">
        <f>I77/(1-F84)*F84</f>
        <v>66338.6747692308</v>
      </c>
      <c r="K84" s="14"/>
    </row>
    <row r="85" ht="16" customHeight="1" spans="1:12">
      <c r="A85" s="12"/>
      <c r="B85" s="12"/>
      <c r="C85" s="25"/>
      <c r="D85" s="46"/>
      <c r="E85" s="26"/>
      <c r="F85" s="47">
        <v>0.4</v>
      </c>
      <c r="G85" s="47"/>
      <c r="H85" s="47"/>
      <c r="I85" s="52"/>
      <c r="J85" s="17">
        <f>I77/(1-F85)*F85</f>
        <v>82133.5973333333</v>
      </c>
      <c r="K85" s="14"/>
    </row>
    <row r="86" ht="16" customHeight="1" spans="1:12">
      <c r="A86" s="12"/>
      <c r="B86" s="12"/>
      <c r="C86" s="25"/>
      <c r="D86" s="46"/>
      <c r="E86" s="26"/>
      <c r="F86" s="47">
        <v>0.45</v>
      </c>
      <c r="G86" s="47"/>
      <c r="H86" s="47"/>
      <c r="I86" s="52"/>
      <c r="J86" s="17">
        <f>I77/(1-F86)*F86</f>
        <v>100800.324</v>
      </c>
      <c r="K86" s="14"/>
    </row>
    <row r="87" ht="16" customHeight="1" spans="1:12">
      <c r="A87" s="12"/>
      <c r="B87" s="12"/>
      <c r="C87" s="12" t="s">
        <v>94</v>
      </c>
      <c r="D87" s="12"/>
      <c r="E87" s="12"/>
      <c r="F87" s="47">
        <v>0.5</v>
      </c>
      <c r="G87" s="47"/>
      <c r="H87" s="47"/>
      <c r="I87" s="53"/>
      <c r="J87" s="17">
        <f>I77/(1-F87)*F87</f>
        <v>123200.396</v>
      </c>
      <c r="K87" s="14"/>
      <c r="L87" s="19"/>
    </row>
    <row r="88" ht="16" customHeight="1" spans="1:12">
      <c r="A88" s="33"/>
      <c r="B88" s="33"/>
      <c r="C88" s="33"/>
      <c r="D88" s="33"/>
      <c r="E88" s="33"/>
      <c r="F88" s="33"/>
      <c r="G88" s="33"/>
      <c r="H88" s="33"/>
      <c r="I88" s="33"/>
      <c r="J88" s="24"/>
      <c r="K88" s="24"/>
    </row>
    <row r="89" ht="16" customHeight="1" spans="1:12">
      <c r="A89" s="54" t="s">
        <v>98</v>
      </c>
      <c r="B89" s="55"/>
      <c r="C89" s="56" t="s">
        <v>99</v>
      </c>
      <c r="D89" s="57"/>
      <c r="E89" s="57"/>
      <c r="F89" s="58">
        <f>F77</f>
        <v>0</v>
      </c>
      <c r="G89" s="58"/>
      <c r="H89" s="58"/>
      <c r="I89" s="48"/>
      <c r="J89" s="14">
        <f>I77+J77</f>
        <v>123200.396</v>
      </c>
      <c r="K89" s="14"/>
    </row>
    <row r="90" ht="16" customHeight="1" spans="1:12">
      <c r="A90" s="59"/>
      <c r="B90" s="60"/>
      <c r="C90" s="61"/>
      <c r="D90" s="62"/>
      <c r="E90" s="62"/>
      <c r="F90" s="58">
        <f t="shared" ref="F90:F99" si="4">F78</f>
        <v>0.0500000000000001</v>
      </c>
      <c r="G90" s="58"/>
      <c r="H90" s="58"/>
      <c r="I90" s="48"/>
      <c r="J90" s="14">
        <f>I77+J78</f>
        <v>129684.627368421</v>
      </c>
      <c r="K90" s="14"/>
    </row>
    <row r="91" ht="16" customHeight="1" spans="1:12">
      <c r="A91" s="59"/>
      <c r="B91" s="60"/>
      <c r="C91" s="61"/>
      <c r="D91" s="62"/>
      <c r="E91" s="62"/>
      <c r="F91" s="58">
        <f t="shared" si="4"/>
        <v>0.1</v>
      </c>
      <c r="G91" s="58"/>
      <c r="H91" s="58"/>
      <c r="I91" s="48"/>
      <c r="J91" s="14">
        <f>I77+J79</f>
        <v>136889.328888889</v>
      </c>
      <c r="K91" s="14"/>
    </row>
    <row r="92" ht="16" customHeight="1" spans="1:12">
      <c r="A92" s="59"/>
      <c r="B92" s="60"/>
      <c r="C92" s="61"/>
      <c r="D92" s="62"/>
      <c r="E92" s="62"/>
      <c r="F92" s="58">
        <f t="shared" si="4"/>
        <v>0.15</v>
      </c>
      <c r="G92" s="58"/>
      <c r="H92" s="58"/>
      <c r="I92" s="48"/>
      <c r="J92" s="14">
        <f>I77+J80</f>
        <v>144941.642352941</v>
      </c>
      <c r="K92" s="14"/>
    </row>
    <row r="93" ht="16" customHeight="1" spans="1:12">
      <c r="A93" s="59"/>
      <c r="B93" s="60"/>
      <c r="C93" s="61"/>
      <c r="D93" s="62"/>
      <c r="E93" s="62"/>
      <c r="F93" s="58">
        <f t="shared" si="4"/>
        <v>0.2</v>
      </c>
      <c r="G93" s="58"/>
      <c r="H93" s="58"/>
      <c r="I93" s="48"/>
      <c r="J93" s="14">
        <f>I77+J81</f>
        <v>154000.495</v>
      </c>
      <c r="K93" s="14"/>
    </row>
    <row r="94" ht="16" customHeight="1" spans="1:12">
      <c r="A94" s="59"/>
      <c r="B94" s="60"/>
      <c r="C94" s="61"/>
      <c r="D94" s="62"/>
      <c r="E94" s="62"/>
      <c r="F94" s="58">
        <f t="shared" si="4"/>
        <v>0.25</v>
      </c>
      <c r="G94" s="58"/>
      <c r="H94" s="58"/>
      <c r="I94" s="48"/>
      <c r="J94" s="14">
        <f>I77+J82</f>
        <v>164267.194666667</v>
      </c>
      <c r="K94" s="14"/>
    </row>
    <row r="95" ht="16" customHeight="1" spans="1:12">
      <c r="A95" s="59"/>
      <c r="B95" s="60"/>
      <c r="C95" s="61"/>
      <c r="D95" s="62"/>
      <c r="E95" s="62"/>
      <c r="F95" s="58">
        <f t="shared" si="4"/>
        <v>0.3</v>
      </c>
      <c r="G95" s="58"/>
      <c r="H95" s="58"/>
      <c r="I95" s="48"/>
      <c r="J95" s="14">
        <f>I77+J83</f>
        <v>176000.565714286</v>
      </c>
      <c r="K95" s="14"/>
    </row>
    <row r="96" ht="16" customHeight="1" spans="1:12">
      <c r="A96" s="59"/>
      <c r="B96" s="60"/>
      <c r="C96" s="61"/>
      <c r="D96" s="62"/>
      <c r="E96" s="62"/>
      <c r="F96" s="58">
        <f t="shared" si="4"/>
        <v>0.35</v>
      </c>
      <c r="G96" s="58"/>
      <c r="H96" s="58"/>
      <c r="I96" s="48"/>
      <c r="J96" s="14">
        <f>I77+J84</f>
        <v>189539.070769231</v>
      </c>
      <c r="K96" s="14"/>
    </row>
    <row r="97" ht="16" customHeight="1" spans="1:11">
      <c r="A97" s="59"/>
      <c r="B97" s="60"/>
      <c r="C97" s="61"/>
      <c r="D97" s="62"/>
      <c r="E97" s="62"/>
      <c r="F97" s="58">
        <f t="shared" si="4"/>
        <v>0.4</v>
      </c>
      <c r="G97" s="58"/>
      <c r="H97" s="58"/>
      <c r="I97" s="48"/>
      <c r="J97" s="14">
        <f>I77+J85</f>
        <v>205333.993333333</v>
      </c>
      <c r="K97" s="14"/>
    </row>
    <row r="98" ht="16" customHeight="1" spans="1:11">
      <c r="A98" s="59"/>
      <c r="B98" s="60"/>
      <c r="C98" s="61"/>
      <c r="D98" s="62"/>
      <c r="E98" s="62"/>
      <c r="F98" s="58">
        <f t="shared" si="4"/>
        <v>0.45</v>
      </c>
      <c r="G98" s="58"/>
      <c r="H98" s="58"/>
      <c r="I98" s="48"/>
      <c r="J98" s="14">
        <f>I77+J86</f>
        <v>224000.72</v>
      </c>
      <c r="K98" s="14"/>
    </row>
    <row r="99" ht="16" customHeight="1" spans="1:11">
      <c r="A99" s="63"/>
      <c r="B99" s="64"/>
      <c r="C99" s="65"/>
      <c r="D99" s="66"/>
      <c r="E99" s="66"/>
      <c r="F99" s="58">
        <f t="shared" si="4"/>
        <v>0.5</v>
      </c>
      <c r="G99" s="58"/>
      <c r="H99" s="58"/>
      <c r="I99" s="48"/>
      <c r="J99" s="14">
        <f>I77+J87</f>
        <v>246400.792</v>
      </c>
      <c r="K99" s="14"/>
    </row>
    <row r="100" ht="27" customHeight="1" spans="1:11">
      <c r="A100" s="67" t="s">
        <v>100</v>
      </c>
      <c r="B100" s="67"/>
      <c r="C100" s="67"/>
      <c r="D100" s="67"/>
      <c r="E100" s="67"/>
      <c r="F100" s="67"/>
      <c r="G100" s="67"/>
      <c r="H100" s="67"/>
      <c r="I100" s="67"/>
      <c r="J100" s="68"/>
      <c r="K100" s="69"/>
    </row>
    <row r="101" ht="28" customHeight="1" spans="1:11">
      <c r="A101" s="67" t="s">
        <v>101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</row>
  </sheetData>
  <sheetProtection insertRows="0"/>
  <protectedRanges>
    <protectedRange sqref="C4:I27" name="区域1"/>
    <protectedRange sqref="F66:H66" name="区域4"/>
    <protectedRange sqref="H46:H56" name="区域3"/>
    <protectedRange sqref="H30:H43" name="区域2"/>
    <protectedRange sqref="G70:H70" name="区域5"/>
    <protectedRange sqref="F87:H87" name="区域6"/>
    <protectedRange sqref="I51:I52 I54:I56" name="区域7"/>
    <protectedRange sqref="D2 K2" name="区域8"/>
    <protectedRange sqref="I43" name="区域9"/>
    <protectedRange sqref="I40:I41" name="区域10"/>
  </protectedRanges>
  <mergeCells count="181">
    <mergeCell ref="A1:K1"/>
    <mergeCell ref="A2:C2"/>
    <mergeCell ref="F2:G2"/>
    <mergeCell ref="H2:I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A28:B28"/>
    <mergeCell ref="C28:I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A44:B44"/>
    <mergeCell ref="C44:I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A57:B57"/>
    <mergeCell ref="C57:I57"/>
    <mergeCell ref="C58:E58"/>
    <mergeCell ref="F58:G58"/>
    <mergeCell ref="C59:E59"/>
    <mergeCell ref="F59:G59"/>
    <mergeCell ref="C60:E60"/>
    <mergeCell ref="F60:G60"/>
    <mergeCell ref="C61:E61"/>
    <mergeCell ref="F61:G61"/>
    <mergeCell ref="C62:E62"/>
    <mergeCell ref="F62:G62"/>
    <mergeCell ref="C63:E63"/>
    <mergeCell ref="F63:G63"/>
    <mergeCell ref="A64:B64"/>
    <mergeCell ref="C64:I64"/>
    <mergeCell ref="C65:E65"/>
    <mergeCell ref="F65:G65"/>
    <mergeCell ref="C66:E66"/>
    <mergeCell ref="F66:G66"/>
    <mergeCell ref="A67:B67"/>
    <mergeCell ref="C67:I67"/>
    <mergeCell ref="C68:E68"/>
    <mergeCell ref="C69:E69"/>
    <mergeCell ref="C70:E70"/>
    <mergeCell ref="A71:B71"/>
    <mergeCell ref="C71:I71"/>
    <mergeCell ref="C72:E72"/>
    <mergeCell ref="F72:H72"/>
    <mergeCell ref="C73:E73"/>
    <mergeCell ref="F73:H73"/>
    <mergeCell ref="C74:E74"/>
    <mergeCell ref="F74:H74"/>
    <mergeCell ref="A75:B75"/>
    <mergeCell ref="C75:I75"/>
    <mergeCell ref="C76:E76"/>
    <mergeCell ref="F76:H76"/>
    <mergeCell ref="C77:E77"/>
    <mergeCell ref="F77:H77"/>
    <mergeCell ref="C78:E78"/>
    <mergeCell ref="F78:H78"/>
    <mergeCell ref="C79:E79"/>
    <mergeCell ref="F79:H79"/>
    <mergeCell ref="C80:E80"/>
    <mergeCell ref="F80:H80"/>
    <mergeCell ref="C81:E81"/>
    <mergeCell ref="F81:H81"/>
    <mergeCell ref="C82:E82"/>
    <mergeCell ref="F82:H82"/>
    <mergeCell ref="C83:E83"/>
    <mergeCell ref="F83:H83"/>
    <mergeCell ref="C84:E84"/>
    <mergeCell ref="F84:H84"/>
    <mergeCell ref="C85:E85"/>
    <mergeCell ref="F85:H85"/>
    <mergeCell ref="C86:E86"/>
    <mergeCell ref="F86:H86"/>
    <mergeCell ref="C87:E87"/>
    <mergeCell ref="F87:H87"/>
    <mergeCell ref="A88:B88"/>
    <mergeCell ref="C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A100:B100"/>
    <mergeCell ref="C100:I100"/>
    <mergeCell ref="A101:K101"/>
    <mergeCell ref="A3:A27"/>
    <mergeCell ref="A29:A43"/>
    <mergeCell ref="A45:A56"/>
    <mergeCell ref="A58:A63"/>
    <mergeCell ref="A65:A66"/>
    <mergeCell ref="A68:A70"/>
    <mergeCell ref="A72:A74"/>
    <mergeCell ref="A76:A87"/>
    <mergeCell ref="B3:B27"/>
    <mergeCell ref="B29:B43"/>
    <mergeCell ref="B45:B56"/>
    <mergeCell ref="B58:B63"/>
    <mergeCell ref="B65:B66"/>
    <mergeCell ref="B68:B70"/>
    <mergeCell ref="B72:B74"/>
    <mergeCell ref="B76:B87"/>
    <mergeCell ref="I77:I87"/>
    <mergeCell ref="A89:B99"/>
    <mergeCell ref="C89:E99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5" rangeCreator="" othersAccessPermission="edit"/>
    <arrUserId title="区域6" rangeCreator="" othersAccessPermission="edit"/>
    <arrUserId title="区域7" rangeCreator="" othersAccessPermission="edit"/>
    <arrUserId title="区域8" rangeCreator="" othersAccessPermission="edit"/>
    <arrUserId title="区域9" rangeCreator="" othersAccessPermission="edit"/>
    <arrUserId title="区域10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成本估算表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易敏</cp:lastModifiedBy>
  <dcterms:created xsi:type="dcterms:W3CDTF">2019-12-30T02:46:00Z</dcterms:created>
  <dcterms:modified xsi:type="dcterms:W3CDTF">2026-06-30T10:29:24Z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KSOReadingLayout">
    <vt:bool>false</vt:bool>
  </property>
  <property fmtid="{D5CDD505-2E9C-101B-9397-08002B2CF9AE}" pid="4" name="ICV">
    <vt:lpwstr>D0ED2610CCF14134BFC33285AA29448E_13</vt:lpwstr>
  </property>
  <property fmtid="{D5CDD505-2E9C-101B-9397-08002B2CF9AE}" pid="5" name="CalculationRule">
    <vt:i4>0</vt:i4>
  </property>
</Properties>
</file>