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本清单" sheetId="2" r:id="rId1"/>
    <sheet name="机械" sheetId="5" r:id="rId2"/>
    <sheet name="电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<sst xmlns="http://schemas.openxmlformats.org/spreadsheetml/2006/main" count="395" uniqueCount="105">
  <si>
    <t>成本估算表</t>
  </si>
  <si>
    <t>序号</t>
  </si>
  <si>
    <t>项次</t>
  </si>
  <si>
    <t>部件名称</t>
  </si>
  <si>
    <t>名称</t>
  </si>
  <si>
    <t>品牌</t>
  </si>
  <si>
    <t>规格型号</t>
  </si>
  <si>
    <t>计量单位</t>
  </si>
  <si>
    <t>数量</t>
  </si>
  <si>
    <t>含税单价</t>
  </si>
  <si>
    <t>含税总价</t>
  </si>
  <si>
    <t>凯尔夫公司报价</t>
  </si>
  <si>
    <t>备注</t>
  </si>
  <si>
    <t>任务领取部门</t>
  </si>
  <si>
    <t>原材料</t>
  </si>
  <si>
    <t>机械硬件</t>
  </si>
  <si>
    <t>入料皮带</t>
  </si>
  <si>
    <t>KRF</t>
  </si>
  <si>
    <t>非标</t>
  </si>
  <si>
    <t>套</t>
  </si>
  <si>
    <t>采购部门</t>
  </si>
  <si>
    <t>CCD+凸包视觉部分</t>
  </si>
  <si>
    <t>视觉系统</t>
  </si>
  <si>
    <t>海康</t>
  </si>
  <si>
    <t>小计</t>
  </si>
  <si>
    <t>设计费用</t>
  </si>
  <si>
    <t>费用级别</t>
  </si>
  <si>
    <t>不含税单价</t>
  </si>
  <si>
    <t>不含税总价</t>
  </si>
  <si>
    <t>机械设计师</t>
  </si>
  <si>
    <t>天</t>
  </si>
  <si>
    <t>技术部门</t>
  </si>
  <si>
    <t>电气设计师</t>
  </si>
  <si>
    <t>软件工程师</t>
  </si>
  <si>
    <t>装配调试费用</t>
  </si>
  <si>
    <t>工厂内</t>
  </si>
  <si>
    <t>安装调试部门</t>
  </si>
  <si>
    <t>安装调试费用</t>
  </si>
  <si>
    <t>出差交通</t>
  </si>
  <si>
    <t>人</t>
  </si>
  <si>
    <t>出差补贴</t>
  </si>
  <si>
    <t>住宿</t>
  </si>
  <si>
    <t>售后费用</t>
  </si>
  <si>
    <t>各部门</t>
  </si>
  <si>
    <t>运输费用</t>
  </si>
  <si>
    <t>运输设备</t>
  </si>
  <si>
    <t>运输+吊装</t>
  </si>
  <si>
    <t>其他费用</t>
  </si>
  <si>
    <t>例如：试错成本</t>
  </si>
  <si>
    <t>期间费用</t>
  </si>
  <si>
    <t>财务费用，按照对外融资XX%年利率计算</t>
  </si>
  <si>
    <t>财务部</t>
  </si>
  <si>
    <t>厂房租赁费</t>
  </si>
  <si>
    <t>管理费用等综合费用</t>
  </si>
  <si>
    <t>行业综合税负率</t>
  </si>
  <si>
    <t>成本合计</t>
  </si>
  <si>
    <t>合理利润（元）</t>
  </si>
  <si>
    <t>报价合计
（含税）</t>
  </si>
  <si>
    <t>下线检测台-电气</t>
  </si>
  <si>
    <t>规格</t>
  </si>
  <si>
    <t>单价</t>
  </si>
  <si>
    <t>皮带及型材框架</t>
  </si>
  <si>
    <t>定制</t>
  </si>
  <si>
    <t>阻挡机构</t>
  </si>
  <si>
    <t>自制</t>
  </si>
  <si>
    <t>辅助材料</t>
  </si>
  <si>
    <t>台架</t>
  </si>
  <si>
    <t>CCD视觉部分</t>
  </si>
  <si>
    <t>移栽抓手</t>
  </si>
  <si>
    <t>SMC</t>
  </si>
  <si>
    <t>旋转部件</t>
  </si>
  <si>
    <t>NG移除机构</t>
  </si>
  <si>
    <t>激光刻印</t>
  </si>
  <si>
    <t>飞轮内壁及护罩点胶</t>
  </si>
  <si>
    <t>旋转机构</t>
  </si>
  <si>
    <t>注油机</t>
  </si>
  <si>
    <t>止口卷边设备</t>
  </si>
  <si>
    <t>自动上胶打钉</t>
  </si>
  <si>
    <t>动平衡检测、去重、复测</t>
  </si>
  <si>
    <t>去重机构</t>
  </si>
  <si>
    <t>同心圆检测</t>
  </si>
  <si>
    <t>自动充磁（翻转）及充磁检测</t>
  </si>
  <si>
    <t>翻转抓手</t>
  </si>
  <si>
    <t>自动上油及下料</t>
  </si>
  <si>
    <t>喷油机构</t>
  </si>
  <si>
    <t>喷油旋转机构</t>
  </si>
  <si>
    <t>总计</t>
  </si>
  <si>
    <t>远程扩展模块16入16出</t>
  </si>
  <si>
    <t>GR10-1616ETNE</t>
  </si>
  <si>
    <t>汇川</t>
  </si>
  <si>
    <t>漫反射光电传感器</t>
  </si>
  <si>
    <t>E3Z-L81</t>
  </si>
  <si>
    <t>Omron</t>
  </si>
  <si>
    <t>空气开关等</t>
  </si>
  <si>
    <t>施耐德</t>
  </si>
  <si>
    <t>开关电源</t>
  </si>
  <si>
    <t>SDR-120-24</t>
  </si>
  <si>
    <t>明纬</t>
  </si>
  <si>
    <t>控制柜</t>
  </si>
  <si>
    <t>CPU</t>
  </si>
  <si>
    <t>H5U-1614MTD-A8</t>
  </si>
  <si>
    <t>汇川16 点数字量输入模块</t>
  </si>
  <si>
    <t>GL10-1600END</t>
  </si>
  <si>
    <t>汇川16 点数字量输出模块</t>
  </si>
  <si>
    <t>GL10-0016ETP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</si>
</sst>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"/>
    <numFmt numFmtId="177" formatCode="0.00_ "/>
    <numFmt numFmtId="178" formatCode="0.00_);[Red]\(0.00\)"/>
    <numFmt numFmtId="179" formatCode="#,##0.00_ "/>
    <numFmt numFmtId="180" formatCode="\¥#,##0.00_);[Red]\(\¥#,##0.00\)"/>
  </numFmts>
  <fonts count="3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name val="微软雅黑"/>
      <charset val="134"/>
    </font>
    <font>
      <b/>
      <sz val="15"/>
      <name val="微软雅黑"/>
      <charset val="134"/>
    </font>
    <font>
      <sz val="10"/>
      <name val="微软雅黑"/>
      <charset val="134"/>
    </font>
    <font>
      <sz val="8"/>
      <name val="微软雅黑"/>
      <charset val="134"/>
    </font>
    <font>
      <sz val="8"/>
      <color rgb="FFFF0000"/>
      <name val="微软雅黑"/>
      <charset val="134"/>
    </font>
    <font>
      <sz val="8"/>
      <color theme="1"/>
      <name val="微软雅黑"/>
      <charset val="134"/>
    </font>
    <font>
      <sz val="10.5"/>
      <name val="宋体"/>
      <charset val="134"/>
    </font>
    <font>
      <b/>
      <sz val="10"/>
      <name val="微软雅黑"/>
      <charset val="134"/>
    </font>
    <font>
      <b/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8"/>
      <name val="微软雅黑"/>
      <charset val="134"/>
    </font>
    <font>
      <b/>
      <sz val="1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9" applyNumberFormat="0" applyAlignment="0" applyProtection="0">
      <alignment vertical="center"/>
    </xf>
    <xf numFmtId="0" fontId="28" fillId="6" borderId="20" applyNumberFormat="0" applyAlignment="0" applyProtection="0">
      <alignment vertical="center"/>
    </xf>
    <xf numFmtId="0" fontId="29" fillId="6" borderId="19" applyNumberFormat="0" applyAlignment="0" applyProtection="0">
      <alignment vertical="center"/>
    </xf>
    <xf numFmtId="0" fontId="30" fillId="7" borderId="21" applyNumberFormat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0" borderId="2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176" fontId="38" fillId="0" borderId="0"/>
    <xf numFmtId="0" fontId="38" fillId="0" borderId="0"/>
  </cellStyleXfs>
  <cellXfs count="92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 applyProtection="1">
      <alignment horizontal="left" vertical="center"/>
      <protection locked="0"/>
    </xf>
    <xf numFmtId="0" fontId="5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177" fontId="6" fillId="2" borderId="4" xfId="0" applyNumberFormat="1" applyFont="1" applyFill="1" applyBorder="1" applyAlignment="1">
      <alignment horizontal="center" vertical="center" wrapText="1"/>
    </xf>
    <xf numFmtId="178" fontId="3" fillId="0" borderId="4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78" fontId="5" fillId="2" borderId="6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179" fontId="7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179" fontId="10" fillId="3" borderId="4" xfId="0" applyNumberFormat="1" applyFont="1" applyFill="1" applyBorder="1" applyAlignment="1">
      <alignment horizontal="center" vertical="center" wrapText="1"/>
    </xf>
    <xf numFmtId="179" fontId="10" fillId="3" borderId="7" xfId="0" applyNumberFormat="1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180" fontId="12" fillId="0" borderId="4" xfId="0" applyNumberFormat="1" applyFont="1" applyFill="1" applyBorder="1" applyAlignment="1">
      <alignment horizontal="center" vertical="center" wrapText="1"/>
    </xf>
    <xf numFmtId="179" fontId="10" fillId="0" borderId="7" xfId="0" applyNumberFormat="1" applyFont="1" applyFill="1" applyBorder="1" applyAlignment="1">
      <alignment horizontal="center" vertical="center" wrapText="1"/>
    </xf>
    <xf numFmtId="179" fontId="10" fillId="0" borderId="9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179" fontId="10" fillId="0" borderId="11" xfId="0" applyNumberFormat="1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2" fillId="0" borderId="4" xfId="0" applyFont="1" applyFill="1" applyBorder="1" applyAlignment="1">
      <alignment horizontal="right" vertical="center" wrapText="1"/>
    </xf>
    <xf numFmtId="0" fontId="0" fillId="0" borderId="4" xfId="0" applyFill="1" applyBorder="1">
      <alignment vertical="center"/>
    </xf>
    <xf numFmtId="0" fontId="13" fillId="0" borderId="4" xfId="0" applyFont="1" applyFill="1" applyBorder="1" applyAlignment="1">
      <alignment horizontal="center" vertical="center" wrapText="1"/>
    </xf>
    <xf numFmtId="179" fontId="10" fillId="0" borderId="13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180" fontId="16" fillId="3" borderId="4" xfId="0" applyNumberFormat="1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79" fontId="10" fillId="0" borderId="4" xfId="0" applyNumberFormat="1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179" fontId="17" fillId="3" borderId="4" xfId="0" applyNumberFormat="1" applyFont="1" applyFill="1" applyBorder="1" applyAlignment="1">
      <alignment horizontal="center" vertical="center" wrapText="1"/>
    </xf>
    <xf numFmtId="179" fontId="17" fillId="3" borderId="7" xfId="0" applyNumberFormat="1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vertical="center" wrapText="1"/>
    </xf>
    <xf numFmtId="0" fontId="18" fillId="0" borderId="7" xfId="0" applyFont="1" applyFill="1" applyBorder="1" applyAlignment="1">
      <alignment vertical="center" wrapText="1"/>
    </xf>
    <xf numFmtId="179" fontId="10" fillId="0" borderId="14" xfId="0" applyNumberFormat="1" applyFont="1" applyFill="1" applyBorder="1" applyAlignment="1">
      <alignment horizontal="center" vertical="center" wrapText="1"/>
    </xf>
    <xf numFmtId="179" fontId="10" fillId="0" borderId="15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7" xfId="0" applyFont="1" applyFill="1" applyBorder="1" applyAlignment="1">
      <alignment horizontal="center" vertical="center" wrapText="1"/>
    </xf>
    <xf numFmtId="9" fontId="10" fillId="0" borderId="7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179" fontId="17" fillId="0" borderId="14" xfId="0" applyNumberFormat="1" applyFont="1" applyFill="1" applyBorder="1" applyAlignment="1">
      <alignment horizontal="center" vertical="center" wrapText="1"/>
    </xf>
    <xf numFmtId="179" fontId="17" fillId="0" borderId="15" xfId="0" applyNumberFormat="1" applyFont="1" applyFill="1" applyBorder="1" applyAlignment="1">
      <alignment horizontal="center" vertical="center" wrapText="1"/>
    </xf>
    <xf numFmtId="179" fontId="17" fillId="0" borderId="7" xfId="0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1" xfId="49"/>
    <cellStyle name="常规 41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533400</xdr:colOff>
      <xdr:row>0</xdr:row>
      <xdr:rowOff>219075</xdr:rowOff>
    </xdr:from>
    <xdr:ext cx="875665" cy="224155"/>
    <xdr:sp>
      <xdr:nvSpPr>
        <xdr:cNvPr id="2" name="文本框 1"/>
        <xdr:cNvSpPr txBox="1"/>
      </xdr:nvSpPr>
      <xdr:spPr>
        <a:xfrm>
          <a:off x="7648575" y="219075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VER:20260212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tabSelected="1" workbookViewId="0">
      <selection activeCell="U14" sqref="U14"/>
    </sheetView>
  </sheetViews>
  <sheetFormatPr defaultColWidth="9" defaultRowHeight="13.5"/>
  <cols>
    <col min="1" max="1" width="2.375" customWidth="1"/>
    <col min="2" max="2" width="8" customWidth="1"/>
    <col min="3" max="3" width="9.625" customWidth="1"/>
    <col min="4" max="4" width="15.75" customWidth="1"/>
    <col min="5" max="5" width="12.875" customWidth="1"/>
    <col min="6" max="7" width="6.125" customWidth="1"/>
    <col min="8" max="8" width="3.375" customWidth="1"/>
    <col min="9" max="9" width="7.75" customWidth="1"/>
    <col min="10" max="10" width="10.375" customWidth="1"/>
    <col min="11" max="11" width="11" customWidth="1"/>
    <col min="12" max="12" width="10.625" customWidth="1"/>
  </cols>
  <sheetData>
    <row r="1" ht="37" customHeight="1" spans="1:13">
      <c r="A1" s="15" t="s">
        <v>0</v>
      </c>
      <c r="B1" s="16"/>
      <c r="C1" s="15"/>
      <c r="D1" s="15"/>
      <c r="E1" s="15"/>
      <c r="F1" s="15"/>
      <c r="G1" s="15"/>
      <c r="H1" s="15"/>
      <c r="I1" s="17"/>
      <c r="J1" s="17"/>
      <c r="K1" s="17"/>
      <c r="L1" s="17"/>
      <c r="M1" s="18"/>
    </row>
    <row r="2" ht="33" spans="1:13">
      <c r="A2" s="19" t="s">
        <v>1</v>
      </c>
      <c r="B2" s="20" t="s">
        <v>2</v>
      </c>
      <c r="C2" s="20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2" t="s">
        <v>9</v>
      </c>
      <c r="J2" s="22" t="s">
        <v>10</v>
      </c>
      <c r="K2" s="23" t="s">
        <v>11</v>
      </c>
      <c r="L2" s="23" t="s">
        <v>12</v>
      </c>
      <c r="M2" s="22" t="s">
        <v>13</v>
      </c>
    </row>
    <row r="3" spans="1:13">
      <c r="A3" s="24">
        <v>1</v>
      </c>
      <c r="B3" s="25" t="s">
        <v>14</v>
      </c>
      <c r="C3" s="26" t="s">
        <v>15</v>
      </c>
      <c r="D3" s="27" t="s">
        <v>16</v>
      </c>
      <c r="E3" s="27" t="s">
        <v>17</v>
      </c>
      <c r="F3" s="27" t="s">
        <v>18</v>
      </c>
      <c r="G3" s="27" t="s">
        <v>19</v>
      </c>
      <c r="H3" s="27">
        <v>1</v>
      </c>
      <c r="I3" s="27">
        <f>机械!H5</f>
        <v>3150</v>
      </c>
      <c r="J3" s="28">
        <f>H3*I3</f>
        <v>3150</v>
      </c>
      <c r="K3" s="29">
        <f>J3</f>
        <v>3150</v>
      </c>
      <c r="L3" s="30"/>
      <c r="M3" s="31" t="s">
        <v>20</v>
      </c>
    </row>
    <row r="4" spans="1:13">
      <c r="A4" s="32"/>
      <c r="B4" s="33"/>
      <c r="C4" s="34"/>
      <c r="D4" s="27" t="s">
        <v>21</v>
      </c>
      <c r="E4" s="27" t="s">
        <v>17</v>
      </c>
      <c r="F4" s="27" t="s">
        <v>18</v>
      </c>
      <c r="G4" s="27" t="s">
        <v>19</v>
      </c>
      <c r="H4" s="27">
        <v>1</v>
      </c>
      <c r="I4" s="27">
        <f>机械!H12</f>
        <v>7800</v>
      </c>
      <c r="J4" s="28">
        <f>H4*I4</f>
        <v>7800</v>
      </c>
      <c r="K4" s="29">
        <f>J4</f>
        <v>7800</v>
      </c>
      <c r="L4" s="35"/>
      <c r="M4" s="31"/>
    </row>
    <row r="5" spans="1:13">
      <c r="A5" s="32"/>
      <c r="B5" s="33"/>
      <c r="C5" s="36"/>
      <c r="D5" s="27" t="s">
        <v>22</v>
      </c>
      <c r="E5" s="27" t="s">
        <v>23</v>
      </c>
      <c r="F5" s="27" t="s">
        <v>18</v>
      </c>
      <c r="G5" s="27" t="s">
        <v>19</v>
      </c>
      <c r="H5" s="27">
        <v>2</v>
      </c>
      <c r="I5" s="27">
        <v>13000</v>
      </c>
      <c r="J5" s="28">
        <f>H5*I5</f>
        <v>26000</v>
      </c>
      <c r="K5" s="29">
        <f>J5</f>
        <v>26000</v>
      </c>
      <c r="L5" s="35"/>
      <c r="M5" s="31"/>
    </row>
    <row r="6" spans="1:13">
      <c r="A6" s="32"/>
      <c r="B6" s="33"/>
      <c r="C6" s="37"/>
      <c r="D6" s="38"/>
      <c r="E6" s="38"/>
      <c r="F6" s="38"/>
      <c r="G6" s="38"/>
      <c r="H6" s="38"/>
      <c r="I6" s="39"/>
      <c r="J6" s="28"/>
      <c r="K6" s="29"/>
      <c r="L6" s="35"/>
      <c r="M6" s="31"/>
    </row>
    <row r="7" spans="1:13">
      <c r="A7" s="32"/>
      <c r="B7" s="33"/>
      <c r="C7" s="37"/>
      <c r="D7" s="40"/>
      <c r="E7" s="38"/>
      <c r="F7" s="38"/>
      <c r="G7" s="38"/>
      <c r="H7" s="38"/>
      <c r="I7" s="39"/>
      <c r="J7" s="28"/>
      <c r="K7" s="29"/>
      <c r="L7" s="35"/>
      <c r="M7" s="31"/>
    </row>
    <row r="8" spans="1:13">
      <c r="A8" s="32"/>
      <c r="B8" s="33"/>
      <c r="C8" s="37"/>
      <c r="D8" s="38"/>
      <c r="E8" s="38"/>
      <c r="F8" s="38"/>
      <c r="G8" s="38"/>
      <c r="H8" s="38"/>
      <c r="I8" s="41"/>
      <c r="J8" s="28"/>
      <c r="K8" s="29"/>
      <c r="L8" s="35"/>
      <c r="M8" s="31"/>
    </row>
    <row r="9" spans="1:13">
      <c r="A9" s="32"/>
      <c r="B9" s="33"/>
      <c r="C9" s="37"/>
      <c r="D9" s="38"/>
      <c r="E9" s="38"/>
      <c r="F9" s="38"/>
      <c r="G9" s="38"/>
      <c r="H9" s="38"/>
      <c r="I9" s="39"/>
      <c r="J9" s="28"/>
      <c r="K9" s="29"/>
      <c r="L9" s="35"/>
      <c r="M9" s="31"/>
    </row>
    <row r="10" spans="1:13">
      <c r="A10" s="32"/>
      <c r="B10" s="33"/>
      <c r="C10" s="37"/>
      <c r="D10" s="40"/>
      <c r="E10" s="38"/>
      <c r="F10" s="38"/>
      <c r="G10" s="38"/>
      <c r="H10" s="38"/>
      <c r="I10" s="41"/>
      <c r="J10" s="28"/>
      <c r="K10" s="29"/>
      <c r="L10" s="35"/>
      <c r="M10" s="31"/>
    </row>
    <row r="11" spans="1:13">
      <c r="A11" s="32"/>
      <c r="B11" s="33"/>
      <c r="C11" s="37"/>
      <c r="D11" s="38"/>
      <c r="E11" s="38"/>
      <c r="F11" s="38"/>
      <c r="G11" s="38"/>
      <c r="H11" s="38"/>
      <c r="I11" s="39"/>
      <c r="J11" s="28"/>
      <c r="K11" s="29"/>
      <c r="L11" s="35"/>
      <c r="M11" s="31"/>
    </row>
    <row r="12" spans="1:13">
      <c r="A12" s="32"/>
      <c r="B12" s="33"/>
      <c r="C12" s="37"/>
      <c r="D12" s="40"/>
      <c r="E12" s="38"/>
      <c r="F12" s="38"/>
      <c r="G12" s="38"/>
      <c r="H12" s="38"/>
      <c r="I12" s="39"/>
      <c r="J12" s="28"/>
      <c r="K12" s="29"/>
      <c r="L12" s="35"/>
      <c r="M12" s="31"/>
    </row>
    <row r="13" spans="1:13">
      <c r="A13" s="32"/>
      <c r="B13" s="33"/>
      <c r="C13" s="37"/>
      <c r="D13" s="38"/>
      <c r="E13" s="38"/>
      <c r="F13" s="38"/>
      <c r="G13" s="38"/>
      <c r="H13" s="38"/>
      <c r="I13" s="39"/>
      <c r="J13" s="28"/>
      <c r="K13" s="29"/>
      <c r="L13" s="35"/>
      <c r="M13" s="31"/>
    </row>
    <row r="14" spans="1:13">
      <c r="A14" s="32"/>
      <c r="B14" s="33"/>
      <c r="C14" s="37"/>
      <c r="D14" s="40"/>
      <c r="E14" s="38"/>
      <c r="F14" s="38"/>
      <c r="G14" s="38"/>
      <c r="H14" s="38"/>
      <c r="I14" s="41"/>
      <c r="J14" s="28"/>
      <c r="K14" s="29"/>
      <c r="L14" s="35"/>
      <c r="M14" s="31"/>
    </row>
    <row r="15" spans="1:13">
      <c r="A15" s="32"/>
      <c r="B15" s="33"/>
      <c r="C15" s="37"/>
      <c r="D15" s="38"/>
      <c r="E15" s="38"/>
      <c r="F15" s="38"/>
      <c r="G15" s="38"/>
      <c r="H15" s="38"/>
      <c r="I15" s="39"/>
      <c r="J15" s="28"/>
      <c r="K15" s="29"/>
      <c r="L15" s="35"/>
      <c r="M15" s="31"/>
    </row>
    <row r="16" spans="1:13">
      <c r="A16" s="32"/>
      <c r="B16" s="33"/>
      <c r="C16" s="37"/>
      <c r="D16" s="40"/>
      <c r="E16" s="38"/>
      <c r="F16" s="38"/>
      <c r="G16" s="38"/>
      <c r="H16" s="38"/>
      <c r="I16" s="39"/>
      <c r="J16" s="28"/>
      <c r="K16" s="29"/>
      <c r="L16" s="35"/>
      <c r="M16" s="31"/>
    </row>
    <row r="17" spans="1:13">
      <c r="A17" s="32"/>
      <c r="B17" s="33"/>
      <c r="C17" s="37"/>
      <c r="D17" s="38"/>
      <c r="E17" s="38"/>
      <c r="F17" s="38"/>
      <c r="G17" s="38"/>
      <c r="H17" s="38"/>
      <c r="I17" s="39"/>
      <c r="J17" s="28"/>
      <c r="K17" s="29"/>
      <c r="L17" s="35"/>
      <c r="M17" s="31"/>
    </row>
    <row r="18" spans="1:13">
      <c r="A18" s="32"/>
      <c r="B18" s="33"/>
      <c r="C18" s="37"/>
      <c r="D18" s="40"/>
      <c r="E18" s="38"/>
      <c r="F18" s="38"/>
      <c r="G18" s="38"/>
      <c r="H18" s="38"/>
      <c r="I18" s="39"/>
      <c r="J18" s="28"/>
      <c r="K18" s="29"/>
      <c r="L18" s="35"/>
      <c r="M18" s="31"/>
    </row>
    <row r="19" spans="1:13">
      <c r="A19" s="32"/>
      <c r="B19" s="33"/>
      <c r="C19" s="37"/>
      <c r="D19" s="38"/>
      <c r="E19" s="38"/>
      <c r="F19" s="38"/>
      <c r="G19" s="38"/>
      <c r="H19" s="38"/>
      <c r="I19" s="39"/>
      <c r="J19" s="28"/>
      <c r="K19" s="29"/>
      <c r="L19" s="35"/>
      <c r="M19" s="31"/>
    </row>
    <row r="20" spans="1:13">
      <c r="A20" s="32"/>
      <c r="B20" s="33"/>
      <c r="C20" s="37"/>
      <c r="D20" s="38"/>
      <c r="E20" s="38"/>
      <c r="F20" s="38"/>
      <c r="G20" s="38"/>
      <c r="H20" s="38"/>
      <c r="I20" s="39"/>
      <c r="J20" s="28"/>
      <c r="K20" s="29"/>
      <c r="L20" s="35"/>
      <c r="M20" s="31"/>
    </row>
    <row r="21" spans="1:13">
      <c r="A21" s="32"/>
      <c r="B21" s="33"/>
      <c r="C21" s="37"/>
      <c r="D21" s="38"/>
      <c r="E21" s="38"/>
      <c r="F21" s="38"/>
      <c r="G21" s="38"/>
      <c r="H21" s="38"/>
      <c r="I21" s="39"/>
      <c r="J21" s="28"/>
      <c r="K21" s="29"/>
      <c r="L21" s="35"/>
      <c r="M21" s="31"/>
    </row>
    <row r="22" spans="1:13">
      <c r="A22" s="32"/>
      <c r="B22" s="33"/>
      <c r="C22" s="37"/>
      <c r="D22" s="38"/>
      <c r="E22" s="38"/>
      <c r="F22" s="38"/>
      <c r="G22" s="38"/>
      <c r="H22" s="38"/>
      <c r="I22" s="39"/>
      <c r="J22" s="28"/>
      <c r="K22" s="29"/>
      <c r="L22" s="35"/>
      <c r="M22" s="31"/>
    </row>
    <row r="23" spans="1:13">
      <c r="A23" s="32"/>
      <c r="B23" s="33"/>
      <c r="C23" s="37"/>
      <c r="D23" s="38"/>
      <c r="E23" s="38"/>
      <c r="F23" s="38"/>
      <c r="G23" s="38"/>
      <c r="H23" s="38"/>
      <c r="I23" s="39"/>
      <c r="J23" s="28"/>
      <c r="K23" s="29"/>
      <c r="L23" s="35"/>
      <c r="M23" s="31"/>
    </row>
    <row r="24" spans="1:13">
      <c r="A24" s="32"/>
      <c r="B24" s="33"/>
      <c r="C24" s="37"/>
      <c r="D24" s="38"/>
      <c r="E24" s="38"/>
      <c r="F24" s="38"/>
      <c r="G24" s="38"/>
      <c r="H24" s="38"/>
      <c r="I24" s="39"/>
      <c r="J24" s="28"/>
      <c r="K24" s="29"/>
      <c r="L24" s="35"/>
      <c r="M24" s="31"/>
    </row>
    <row r="25" spans="1:13">
      <c r="A25" s="32"/>
      <c r="B25" s="33"/>
      <c r="C25" s="37"/>
      <c r="D25" s="38"/>
      <c r="E25" s="38"/>
      <c r="F25" s="38"/>
      <c r="G25" s="38"/>
      <c r="H25" s="38"/>
      <c r="I25" s="39"/>
      <c r="J25" s="28"/>
      <c r="K25" s="29"/>
      <c r="L25" s="35"/>
      <c r="M25" s="31"/>
    </row>
    <row r="26" spans="1:13">
      <c r="A26" s="32"/>
      <c r="B26" s="33"/>
      <c r="C26" s="37"/>
      <c r="D26" s="38"/>
      <c r="E26" s="38"/>
      <c r="F26" s="38"/>
      <c r="G26" s="38"/>
      <c r="H26" s="38"/>
      <c r="I26" s="39"/>
      <c r="J26" s="28"/>
      <c r="K26" s="29"/>
      <c r="L26" s="35"/>
      <c r="M26" s="31"/>
    </row>
    <row r="27" spans="1:13">
      <c r="A27" s="32"/>
      <c r="B27" s="33"/>
      <c r="C27" s="37"/>
      <c r="D27" s="38"/>
      <c r="E27" s="38"/>
      <c r="F27" s="38"/>
      <c r="G27" s="38"/>
      <c r="H27" s="38"/>
      <c r="I27" s="39"/>
      <c r="J27" s="28"/>
      <c r="K27" s="29"/>
      <c r="L27" s="35"/>
      <c r="M27" s="31"/>
    </row>
    <row r="28" spans="1:13">
      <c r="A28" s="32"/>
      <c r="B28" s="33"/>
      <c r="C28" s="37"/>
      <c r="D28" s="38"/>
      <c r="E28" s="38"/>
      <c r="F28" s="38"/>
      <c r="G28" s="38"/>
      <c r="H28" s="38"/>
      <c r="I28" s="39"/>
      <c r="J28" s="28"/>
      <c r="K28" s="29"/>
      <c r="L28" s="35"/>
      <c r="M28" s="31"/>
    </row>
    <row r="29" spans="1:13">
      <c r="A29" s="32"/>
      <c r="B29" s="33"/>
      <c r="C29" s="37"/>
      <c r="D29" s="38"/>
      <c r="E29" s="38"/>
      <c r="F29" s="38"/>
      <c r="G29" s="38"/>
      <c r="H29" s="38"/>
      <c r="I29" s="39"/>
      <c r="J29" s="28"/>
      <c r="K29" s="29"/>
      <c r="L29" s="35"/>
      <c r="M29" s="31"/>
    </row>
    <row r="30" spans="1:13">
      <c r="A30" s="32"/>
      <c r="B30" s="33"/>
      <c r="C30" s="37"/>
      <c r="D30" s="38"/>
      <c r="E30" s="38"/>
      <c r="F30" s="38"/>
      <c r="G30" s="38"/>
      <c r="H30" s="38"/>
      <c r="I30" s="39"/>
      <c r="J30" s="28"/>
      <c r="K30" s="29"/>
      <c r="L30" s="35"/>
      <c r="M30" s="31"/>
    </row>
    <row r="31" spans="1:13">
      <c r="A31" s="32"/>
      <c r="B31" s="33"/>
      <c r="C31" s="42"/>
      <c r="D31" s="38"/>
      <c r="E31" s="38"/>
      <c r="F31" s="38"/>
      <c r="G31" s="38"/>
      <c r="H31" s="38"/>
      <c r="I31" s="39"/>
      <c r="J31" s="28"/>
      <c r="K31" s="29"/>
      <c r="L31" s="43"/>
      <c r="M31" s="31"/>
    </row>
    <row r="32" ht="16.5" spans="1:13">
      <c r="A32" s="44" t="s">
        <v>24</v>
      </c>
      <c r="B32" s="45"/>
      <c r="C32" s="46"/>
      <c r="D32" s="47"/>
      <c r="E32" s="47"/>
      <c r="F32" s="47"/>
      <c r="G32" s="47"/>
      <c r="H32" s="47"/>
      <c r="I32" s="48"/>
      <c r="J32" s="49">
        <f>SUM(J3:J31)</f>
        <v>36950</v>
      </c>
      <c r="K32" s="49">
        <f>SUM(K3:K31)</f>
        <v>36950</v>
      </c>
      <c r="L32" s="23" t="s">
        <v>12</v>
      </c>
      <c r="M32" s="50"/>
    </row>
    <row r="33" ht="16.5" spans="1:13">
      <c r="A33" s="51">
        <v>2</v>
      </c>
      <c r="B33" s="51" t="s">
        <v>25</v>
      </c>
      <c r="C33" s="51"/>
      <c r="D33" s="52" t="s">
        <v>4</v>
      </c>
      <c r="E33" s="52" t="s">
        <v>26</v>
      </c>
      <c r="F33" s="52"/>
      <c r="G33" s="52" t="s">
        <v>7</v>
      </c>
      <c r="H33" s="52" t="s">
        <v>8</v>
      </c>
      <c r="I33" s="53" t="s">
        <v>27</v>
      </c>
      <c r="J33" s="53" t="s">
        <v>28</v>
      </c>
      <c r="K33" s="29" t="s">
        <v>11</v>
      </c>
      <c r="L33" s="29"/>
      <c r="M33" s="53" t="s">
        <v>13</v>
      </c>
    </row>
    <row r="34" ht="16.5" spans="1:13">
      <c r="A34" s="51"/>
      <c r="B34" s="51"/>
      <c r="C34" s="51"/>
      <c r="D34" s="38" t="s">
        <v>29</v>
      </c>
      <c r="E34" s="54"/>
      <c r="F34" s="55"/>
      <c r="G34" s="38" t="s">
        <v>30</v>
      </c>
      <c r="H34" s="27">
        <v>12</v>
      </c>
      <c r="I34" s="28">
        <v>1000</v>
      </c>
      <c r="J34" s="28">
        <f>H34*I34</f>
        <v>12000</v>
      </c>
      <c r="K34" s="29">
        <f>J34</f>
        <v>12000</v>
      </c>
      <c r="L34" s="29"/>
      <c r="M34" s="31" t="s">
        <v>31</v>
      </c>
    </row>
    <row r="35" ht="16.5" spans="1:13">
      <c r="A35" s="51"/>
      <c r="B35" s="51"/>
      <c r="C35" s="51"/>
      <c r="D35" s="52" t="s">
        <v>32</v>
      </c>
      <c r="E35" s="56"/>
      <c r="F35" s="57"/>
      <c r="G35" s="38" t="s">
        <v>30</v>
      </c>
      <c r="H35" s="27">
        <v>5</v>
      </c>
      <c r="I35" s="28">
        <v>1000</v>
      </c>
      <c r="J35" s="28">
        <f>H35*I35</f>
        <v>5000</v>
      </c>
      <c r="K35" s="29">
        <f>J35</f>
        <v>5000</v>
      </c>
      <c r="L35" s="29"/>
      <c r="M35" s="31"/>
    </row>
    <row r="36" ht="16.5" spans="1:13">
      <c r="A36" s="51"/>
      <c r="B36" s="51"/>
      <c r="C36" s="51"/>
      <c r="D36" s="52" t="s">
        <v>33</v>
      </c>
      <c r="E36" s="52"/>
      <c r="F36" s="52"/>
      <c r="G36" s="38" t="s">
        <v>30</v>
      </c>
      <c r="H36" s="27">
        <v>5</v>
      </c>
      <c r="I36" s="28">
        <v>1000</v>
      </c>
      <c r="J36" s="28">
        <f t="shared" ref="J36:J43" si="0">H36*I36</f>
        <v>5000</v>
      </c>
      <c r="K36" s="29">
        <f t="shared" ref="K36:K43" si="1">J36</f>
        <v>5000</v>
      </c>
      <c r="L36" s="29"/>
      <c r="M36" s="31"/>
    </row>
    <row r="37" ht="16.5" spans="1:13">
      <c r="A37" s="58" t="s">
        <v>24</v>
      </c>
      <c r="B37" s="59"/>
      <c r="C37" s="60"/>
      <c r="D37" s="60"/>
      <c r="E37" s="60"/>
      <c r="F37" s="60"/>
      <c r="G37" s="60"/>
      <c r="H37" s="60"/>
      <c r="I37" s="61"/>
      <c r="J37" s="49">
        <f>SUM(J34:J36)</f>
        <v>22000</v>
      </c>
      <c r="K37" s="49">
        <f>SUM(K34:K36)</f>
        <v>22000</v>
      </c>
      <c r="L37" s="23" t="s">
        <v>12</v>
      </c>
      <c r="M37" s="50"/>
    </row>
    <row r="38" ht="16.5" spans="1:13">
      <c r="A38" s="51">
        <v>3</v>
      </c>
      <c r="B38" s="51" t="s">
        <v>34</v>
      </c>
      <c r="C38" s="51"/>
      <c r="D38" s="52" t="s">
        <v>4</v>
      </c>
      <c r="E38" s="52" t="s">
        <v>26</v>
      </c>
      <c r="F38" s="52"/>
      <c r="G38" s="52" t="s">
        <v>7</v>
      </c>
      <c r="H38" s="52" t="s">
        <v>8</v>
      </c>
      <c r="I38" s="53" t="s">
        <v>27</v>
      </c>
      <c r="J38" s="53" t="s">
        <v>28</v>
      </c>
      <c r="K38" s="29" t="s">
        <v>11</v>
      </c>
      <c r="L38" s="29"/>
      <c r="M38" s="31" t="s">
        <v>13</v>
      </c>
    </row>
    <row r="39" ht="16.5" spans="1:13">
      <c r="A39" s="51"/>
      <c r="B39" s="51"/>
      <c r="C39" s="51"/>
      <c r="D39" s="38" t="s">
        <v>35</v>
      </c>
      <c r="E39" s="52"/>
      <c r="F39" s="52"/>
      <c r="G39" s="38" t="s">
        <v>30</v>
      </c>
      <c r="H39" s="27">
        <v>20</v>
      </c>
      <c r="I39" s="28">
        <v>500</v>
      </c>
      <c r="J39" s="28">
        <f t="shared" si="0"/>
        <v>10000</v>
      </c>
      <c r="K39" s="29">
        <f t="shared" si="1"/>
        <v>10000</v>
      </c>
      <c r="L39" s="29"/>
      <c r="M39" s="31" t="s">
        <v>36</v>
      </c>
    </row>
    <row r="40" ht="16.5" spans="1:13">
      <c r="A40" s="51"/>
      <c r="B40" s="51"/>
      <c r="C40" s="51"/>
      <c r="D40" s="38" t="s">
        <v>37</v>
      </c>
      <c r="E40" s="54"/>
      <c r="F40" s="55"/>
      <c r="G40" s="38" t="s">
        <v>30</v>
      </c>
      <c r="H40" s="27">
        <v>15</v>
      </c>
      <c r="I40" s="28">
        <v>500</v>
      </c>
      <c r="J40" s="28">
        <f t="shared" si="0"/>
        <v>7500</v>
      </c>
      <c r="K40" s="29">
        <f t="shared" si="1"/>
        <v>7500</v>
      </c>
      <c r="L40" s="29"/>
      <c r="M40" s="31"/>
    </row>
    <row r="41" ht="16.5" spans="1:13">
      <c r="A41" s="51"/>
      <c r="B41" s="51"/>
      <c r="C41" s="51"/>
      <c r="D41" s="38" t="s">
        <v>38</v>
      </c>
      <c r="E41" s="52"/>
      <c r="F41" s="52"/>
      <c r="G41" s="38" t="s">
        <v>39</v>
      </c>
      <c r="H41" s="27">
        <v>0</v>
      </c>
      <c r="I41" s="28"/>
      <c r="J41" s="28">
        <f t="shared" si="0"/>
        <v>0</v>
      </c>
      <c r="K41" s="29">
        <f t="shared" si="1"/>
        <v>0</v>
      </c>
      <c r="L41" s="29"/>
      <c r="M41" s="31"/>
    </row>
    <row r="42" ht="16.5" spans="1:13">
      <c r="A42" s="51"/>
      <c r="B42" s="51"/>
      <c r="C42" s="51"/>
      <c r="D42" s="38" t="s">
        <v>40</v>
      </c>
      <c r="E42" s="62"/>
      <c r="F42" s="63"/>
      <c r="G42" s="38" t="s">
        <v>30</v>
      </c>
      <c r="H42" s="27">
        <v>0</v>
      </c>
      <c r="I42" s="28"/>
      <c r="J42" s="28">
        <f t="shared" si="0"/>
        <v>0</v>
      </c>
      <c r="K42" s="29">
        <f t="shared" si="1"/>
        <v>0</v>
      </c>
      <c r="L42" s="29"/>
      <c r="M42" s="31"/>
    </row>
    <row r="43" ht="16.5" spans="1:13">
      <c r="A43" s="51"/>
      <c r="B43" s="51"/>
      <c r="C43" s="51"/>
      <c r="D43" s="38" t="s">
        <v>41</v>
      </c>
      <c r="E43" s="52"/>
      <c r="F43" s="52"/>
      <c r="G43" s="38" t="s">
        <v>30</v>
      </c>
      <c r="H43" s="27">
        <v>0</v>
      </c>
      <c r="I43" s="28"/>
      <c r="J43" s="28">
        <f t="shared" si="0"/>
        <v>0</v>
      </c>
      <c r="K43" s="29">
        <f t="shared" si="1"/>
        <v>0</v>
      </c>
      <c r="L43" s="29"/>
      <c r="M43" s="31"/>
    </row>
    <row r="44" ht="16.5" spans="1:13">
      <c r="A44" s="58" t="s">
        <v>24</v>
      </c>
      <c r="B44" s="59"/>
      <c r="C44" s="60"/>
      <c r="D44" s="60"/>
      <c r="E44" s="60"/>
      <c r="F44" s="60"/>
      <c r="G44" s="60"/>
      <c r="H44" s="60"/>
      <c r="I44" s="61"/>
      <c r="J44" s="49">
        <f>SUM(J39:J43)</f>
        <v>17500</v>
      </c>
      <c r="K44" s="49">
        <f>SUM(K39:K43)</f>
        <v>17500</v>
      </c>
      <c r="L44" s="23" t="s">
        <v>12</v>
      </c>
      <c r="M44" s="50"/>
    </row>
    <row r="45" ht="16.5" spans="1:13">
      <c r="A45" s="51">
        <v>4</v>
      </c>
      <c r="B45" s="51" t="s">
        <v>42</v>
      </c>
      <c r="C45" s="51"/>
      <c r="D45" s="52" t="s">
        <v>4</v>
      </c>
      <c r="E45" s="52"/>
      <c r="F45" s="52"/>
      <c r="G45" s="52" t="s">
        <v>7</v>
      </c>
      <c r="H45" s="52" t="s">
        <v>8</v>
      </c>
      <c r="I45" s="53" t="s">
        <v>27</v>
      </c>
      <c r="J45" s="53" t="s">
        <v>28</v>
      </c>
      <c r="K45" s="29" t="s">
        <v>11</v>
      </c>
      <c r="L45" s="29"/>
      <c r="M45" s="31" t="s">
        <v>13</v>
      </c>
    </row>
    <row r="46" ht="16.5" spans="1:13">
      <c r="A46" s="51"/>
      <c r="B46" s="51"/>
      <c r="C46" s="51"/>
      <c r="D46" s="31"/>
      <c r="E46" s="31"/>
      <c r="F46" s="31"/>
      <c r="G46" s="52"/>
      <c r="H46" s="52"/>
      <c r="I46" s="53"/>
      <c r="J46" s="28">
        <f t="shared" ref="J46:J49" si="2">H46*I46</f>
        <v>0</v>
      </c>
      <c r="K46" s="29"/>
      <c r="L46" s="29"/>
      <c r="M46" s="31" t="s">
        <v>43</v>
      </c>
    </row>
    <row r="47" ht="16.5" spans="1:13">
      <c r="A47" s="51"/>
      <c r="B47" s="51"/>
      <c r="C47" s="51"/>
      <c r="D47" s="31"/>
      <c r="E47" s="31"/>
      <c r="F47" s="31"/>
      <c r="G47" s="52"/>
      <c r="H47" s="52"/>
      <c r="I47" s="53"/>
      <c r="J47" s="28">
        <f t="shared" si="2"/>
        <v>0</v>
      </c>
      <c r="K47" s="29"/>
      <c r="L47" s="29"/>
      <c r="M47" s="31"/>
    </row>
    <row r="48" ht="16.5" spans="1:13">
      <c r="A48" s="51"/>
      <c r="B48" s="51"/>
      <c r="C48" s="51"/>
      <c r="D48" s="31"/>
      <c r="E48" s="31"/>
      <c r="F48" s="31"/>
      <c r="G48" s="52"/>
      <c r="H48" s="52"/>
      <c r="I48" s="53"/>
      <c r="J48" s="28">
        <f t="shared" si="2"/>
        <v>0</v>
      </c>
      <c r="K48" s="29"/>
      <c r="L48" s="29"/>
      <c r="M48" s="31"/>
    </row>
    <row r="49" ht="16.5" spans="1:13">
      <c r="A49" s="51"/>
      <c r="B49" s="51"/>
      <c r="C49" s="51"/>
      <c r="D49" s="52"/>
      <c r="E49" s="52"/>
      <c r="F49" s="52"/>
      <c r="G49" s="52"/>
      <c r="H49" s="52"/>
      <c r="I49" s="53"/>
      <c r="J49" s="28">
        <f t="shared" si="2"/>
        <v>0</v>
      </c>
      <c r="K49" s="29"/>
      <c r="L49" s="29"/>
      <c r="M49" s="31"/>
    </row>
    <row r="50" ht="16.5" spans="1:13">
      <c r="A50" s="64" t="s">
        <v>24</v>
      </c>
      <c r="B50" s="65"/>
      <c r="C50" s="66"/>
      <c r="D50" s="67"/>
      <c r="E50" s="67"/>
      <c r="F50" s="67"/>
      <c r="G50" s="67"/>
      <c r="H50" s="67"/>
      <c r="I50" s="68"/>
      <c r="J50" s="49">
        <f>SUM(J46:J49)</f>
        <v>0</v>
      </c>
      <c r="K50" s="49">
        <f>SUM(K46:K49)</f>
        <v>0</v>
      </c>
      <c r="L50" s="23" t="s">
        <v>12</v>
      </c>
      <c r="M50" s="69"/>
    </row>
    <row r="51" ht="16.5" spans="1:13">
      <c r="A51" s="24">
        <v>5</v>
      </c>
      <c r="B51" s="24" t="s">
        <v>44</v>
      </c>
      <c r="C51" s="51"/>
      <c r="D51" s="52" t="s">
        <v>45</v>
      </c>
      <c r="E51" s="52"/>
      <c r="F51" s="52"/>
      <c r="G51" s="52" t="s">
        <v>7</v>
      </c>
      <c r="H51" s="52" t="s">
        <v>8</v>
      </c>
      <c r="I51" s="53" t="s">
        <v>27</v>
      </c>
      <c r="J51" s="53" t="s">
        <v>28</v>
      </c>
      <c r="K51" s="29" t="s">
        <v>11</v>
      </c>
      <c r="L51" s="29"/>
      <c r="M51" s="31" t="s">
        <v>13</v>
      </c>
    </row>
    <row r="52" ht="16.5" spans="1:13">
      <c r="A52" s="32"/>
      <c r="B52" s="32"/>
      <c r="C52" s="51"/>
      <c r="D52" s="52" t="s">
        <v>46</v>
      </c>
      <c r="E52" s="52"/>
      <c r="F52" s="52"/>
      <c r="G52" s="52"/>
      <c r="H52" s="52"/>
      <c r="I52" s="28"/>
      <c r="J52" s="28">
        <f t="shared" ref="J52:J57" si="3">H52*I52</f>
        <v>0</v>
      </c>
      <c r="K52" s="29"/>
      <c r="L52" s="29"/>
      <c r="M52" s="31" t="s">
        <v>20</v>
      </c>
    </row>
    <row r="53" ht="16.5" spans="1:13">
      <c r="A53" s="70"/>
      <c r="B53" s="70"/>
      <c r="C53" s="51"/>
      <c r="D53" s="62"/>
      <c r="E53" s="71"/>
      <c r="F53" s="63"/>
      <c r="G53" s="52"/>
      <c r="H53" s="52"/>
      <c r="I53" s="28"/>
      <c r="J53" s="28">
        <f t="shared" si="3"/>
        <v>0</v>
      </c>
      <c r="K53" s="29"/>
      <c r="L53" s="29"/>
      <c r="M53" s="31"/>
    </row>
    <row r="54" ht="16.5" spans="1:13">
      <c r="A54" s="58" t="s">
        <v>24</v>
      </c>
      <c r="B54" s="59"/>
      <c r="C54" s="60"/>
      <c r="D54" s="60"/>
      <c r="E54" s="60"/>
      <c r="F54" s="60"/>
      <c r="G54" s="60"/>
      <c r="H54" s="60"/>
      <c r="I54" s="61"/>
      <c r="J54" s="49">
        <f>SUM(J52:J53)</f>
        <v>0</v>
      </c>
      <c r="K54" s="49">
        <f>SUM(K52:K53)</f>
        <v>0</v>
      </c>
      <c r="L54" s="23" t="s">
        <v>12</v>
      </c>
      <c r="M54" s="50"/>
    </row>
    <row r="55" ht="16.5" spans="1:13">
      <c r="A55" s="51">
        <v>6</v>
      </c>
      <c r="B55" s="51" t="s">
        <v>47</v>
      </c>
      <c r="C55" s="51"/>
      <c r="D55" s="52" t="s">
        <v>47</v>
      </c>
      <c r="E55" s="52"/>
      <c r="F55" s="52"/>
      <c r="G55" s="52" t="s">
        <v>7</v>
      </c>
      <c r="H55" s="52" t="s">
        <v>8</v>
      </c>
      <c r="I55" s="53" t="s">
        <v>27</v>
      </c>
      <c r="J55" s="53" t="s">
        <v>28</v>
      </c>
      <c r="K55" s="29" t="s">
        <v>11</v>
      </c>
      <c r="L55" s="29"/>
      <c r="M55" s="31" t="s">
        <v>13</v>
      </c>
    </row>
    <row r="56" ht="16.5" spans="1:13">
      <c r="A56" s="51"/>
      <c r="B56" s="51"/>
      <c r="C56" s="51"/>
      <c r="D56" s="52" t="s">
        <v>48</v>
      </c>
      <c r="E56" s="52"/>
      <c r="F56" s="52"/>
      <c r="G56" s="52"/>
      <c r="H56" s="52"/>
      <c r="I56" s="53"/>
      <c r="J56" s="28">
        <f t="shared" si="3"/>
        <v>0</v>
      </c>
      <c r="K56" s="29"/>
      <c r="L56" s="29"/>
      <c r="M56" s="72"/>
    </row>
    <row r="57" ht="16.5" spans="1:13">
      <c r="A57" s="51"/>
      <c r="B57" s="51"/>
      <c r="C57" s="51"/>
      <c r="D57" s="52"/>
      <c r="E57" s="52"/>
      <c r="F57" s="52"/>
      <c r="G57" s="52"/>
      <c r="H57" s="52"/>
      <c r="I57" s="53"/>
      <c r="J57" s="28">
        <f t="shared" si="3"/>
        <v>0</v>
      </c>
      <c r="K57" s="29"/>
      <c r="L57" s="29"/>
      <c r="M57" s="73"/>
    </row>
    <row r="58" ht="16.5" spans="1:13">
      <c r="A58" s="58" t="s">
        <v>24</v>
      </c>
      <c r="B58" s="59"/>
      <c r="C58" s="60"/>
      <c r="D58" s="60"/>
      <c r="E58" s="60"/>
      <c r="F58" s="60"/>
      <c r="G58" s="60"/>
      <c r="H58" s="60"/>
      <c r="I58" s="61"/>
      <c r="J58" s="22"/>
      <c r="K58" s="49">
        <f>SUM(K56:K57)</f>
        <v>0</v>
      </c>
      <c r="L58" s="23" t="s">
        <v>12</v>
      </c>
      <c r="M58" s="69"/>
    </row>
    <row r="59" ht="16.5" spans="1:13">
      <c r="A59" s="51">
        <v>7</v>
      </c>
      <c r="B59" s="51" t="s">
        <v>49</v>
      </c>
      <c r="C59" s="51"/>
      <c r="D59" s="52" t="s">
        <v>49</v>
      </c>
      <c r="E59" s="52"/>
      <c r="F59" s="52"/>
      <c r="G59" s="52" t="s">
        <v>7</v>
      </c>
      <c r="H59" s="52" t="s">
        <v>8</v>
      </c>
      <c r="I59" s="53" t="s">
        <v>27</v>
      </c>
      <c r="J59" s="53" t="s">
        <v>28</v>
      </c>
      <c r="K59" s="29" t="s">
        <v>11</v>
      </c>
      <c r="L59" s="29"/>
      <c r="M59" s="31" t="s">
        <v>13</v>
      </c>
    </row>
    <row r="60" ht="16.5" spans="1:13">
      <c r="A60" s="51"/>
      <c r="B60" s="51"/>
      <c r="C60" s="51"/>
      <c r="D60" s="52" t="s">
        <v>50</v>
      </c>
      <c r="E60" s="52"/>
      <c r="F60" s="52"/>
      <c r="G60" s="52"/>
      <c r="H60" s="52"/>
      <c r="I60" s="53"/>
      <c r="J60" s="28"/>
      <c r="K60" s="28">
        <f>(K32+K37+K44+K50+K54+K58)*0.046/12*4*1.13</f>
        <v>1324.62366666667</v>
      </c>
      <c r="L60" s="28"/>
      <c r="M60" s="31" t="s">
        <v>51</v>
      </c>
    </row>
    <row r="61" ht="16.5" spans="1:13">
      <c r="A61" s="51"/>
      <c r="B61" s="51"/>
      <c r="C61" s="51"/>
      <c r="D61" s="62" t="s">
        <v>52</v>
      </c>
      <c r="E61" s="71"/>
      <c r="F61" s="63"/>
      <c r="G61" s="52"/>
      <c r="H61" s="52"/>
      <c r="I61" s="53"/>
      <c r="J61" s="28"/>
      <c r="K61" s="28">
        <v>0</v>
      </c>
      <c r="L61" s="28"/>
      <c r="M61" s="31"/>
    </row>
    <row r="62" ht="16.5" spans="1:13">
      <c r="A62" s="51"/>
      <c r="B62" s="51"/>
      <c r="C62" s="51"/>
      <c r="D62" s="52" t="s">
        <v>53</v>
      </c>
      <c r="E62" s="52"/>
      <c r="F62" s="52"/>
      <c r="G62" s="52"/>
      <c r="H62" s="52"/>
      <c r="I62" s="53"/>
      <c r="J62" s="28"/>
      <c r="K62" s="28">
        <f>(K32+K37+K44+K50+K54+K58)*0.05*1.13</f>
        <v>4319.425</v>
      </c>
      <c r="L62" s="28"/>
      <c r="M62" s="31"/>
    </row>
    <row r="63" ht="16.5" spans="1:13">
      <c r="A63" s="51"/>
      <c r="B63" s="51"/>
      <c r="C63" s="51"/>
      <c r="D63" s="52" t="s">
        <v>54</v>
      </c>
      <c r="E63" s="52"/>
      <c r="F63" s="52"/>
      <c r="G63" s="52"/>
      <c r="H63" s="52"/>
      <c r="I63" s="53"/>
      <c r="J63" s="28"/>
      <c r="K63" s="28">
        <f>(K32+K37+K44+K50+K54+K58)*0.08*1.13</f>
        <v>6911.08</v>
      </c>
      <c r="L63" s="28"/>
      <c r="M63" s="31"/>
    </row>
    <row r="64" ht="16.5" spans="1:13">
      <c r="A64" s="64" t="s">
        <v>24</v>
      </c>
      <c r="B64" s="65"/>
      <c r="C64" s="58"/>
      <c r="D64" s="60"/>
      <c r="E64" s="60"/>
      <c r="F64" s="60"/>
      <c r="G64" s="60"/>
      <c r="H64" s="60"/>
      <c r="I64" s="61"/>
      <c r="J64" s="74"/>
      <c r="K64" s="75">
        <f>SUM(K60:K63)</f>
        <v>12555.1286666667</v>
      </c>
      <c r="L64" s="75"/>
      <c r="M64" s="50"/>
    </row>
    <row r="65" ht="45" spans="1:13">
      <c r="A65" s="51">
        <v>8</v>
      </c>
      <c r="B65" s="76" t="s">
        <v>55</v>
      </c>
      <c r="C65" s="77"/>
      <c r="D65" s="62"/>
      <c r="E65" s="71"/>
      <c r="F65" s="71"/>
      <c r="G65" s="71"/>
      <c r="H65" s="71"/>
      <c r="I65" s="78"/>
      <c r="J65" s="79"/>
      <c r="K65" s="29">
        <f>K32+K37+K44+K50+K54+K58+K64</f>
        <v>89005.1286666667</v>
      </c>
      <c r="L65" s="29"/>
      <c r="M65" s="31" t="s">
        <v>51</v>
      </c>
    </row>
    <row r="66" ht="33" spans="1:13">
      <c r="A66" s="51">
        <v>9</v>
      </c>
      <c r="B66" s="80" t="s">
        <v>56</v>
      </c>
      <c r="C66" s="81"/>
      <c r="D66" s="82">
        <v>0.3</v>
      </c>
      <c r="E66" s="71"/>
      <c r="F66" s="71"/>
      <c r="G66" s="71"/>
      <c r="H66" s="71"/>
      <c r="I66" s="78"/>
      <c r="J66" s="79"/>
      <c r="K66" s="29">
        <f>K65*D66</f>
        <v>26701.5386</v>
      </c>
      <c r="L66" s="29"/>
      <c r="M66" s="31" t="s">
        <v>51</v>
      </c>
    </row>
    <row r="67" ht="16.5" spans="1:13">
      <c r="A67" s="83" t="s">
        <v>57</v>
      </c>
      <c r="B67" s="84"/>
      <c r="C67" s="85"/>
      <c r="D67" s="86"/>
      <c r="E67" s="87"/>
      <c r="F67" s="87"/>
      <c r="G67" s="87"/>
      <c r="H67" s="87"/>
      <c r="I67" s="88"/>
      <c r="J67" s="89"/>
      <c r="K67" s="90">
        <f>K65+K66</f>
        <v>115706.667266667</v>
      </c>
      <c r="L67" s="90"/>
      <c r="M67" s="91" t="s">
        <v>51</v>
      </c>
    </row>
  </sheetData>
  <mergeCells count="68">
    <mergeCell ref="A1:M1"/>
    <mergeCell ref="A32:B32"/>
    <mergeCell ref="C32:I32"/>
    <mergeCell ref="E33:F33"/>
    <mergeCell ref="E34:F34"/>
    <mergeCell ref="E35:F35"/>
    <mergeCell ref="E36:F36"/>
    <mergeCell ref="A37:B37"/>
    <mergeCell ref="C37:I37"/>
    <mergeCell ref="E38:F38"/>
    <mergeCell ref="E39:F39"/>
    <mergeCell ref="E40:F40"/>
    <mergeCell ref="E41:F41"/>
    <mergeCell ref="E42:F42"/>
    <mergeCell ref="E43:F43"/>
    <mergeCell ref="A44:B44"/>
    <mergeCell ref="C44:I44"/>
    <mergeCell ref="D45:F45"/>
    <mergeCell ref="D46:F46"/>
    <mergeCell ref="D47:F47"/>
    <mergeCell ref="D48:F48"/>
    <mergeCell ref="D49:F49"/>
    <mergeCell ref="A50:B50"/>
    <mergeCell ref="C50:I50"/>
    <mergeCell ref="D51:F51"/>
    <mergeCell ref="D52:F52"/>
    <mergeCell ref="D53:F53"/>
    <mergeCell ref="A54:B54"/>
    <mergeCell ref="C54:I54"/>
    <mergeCell ref="D55:F55"/>
    <mergeCell ref="D56:F56"/>
    <mergeCell ref="D57:F57"/>
    <mergeCell ref="A58:B58"/>
    <mergeCell ref="C58:I58"/>
    <mergeCell ref="D59:F59"/>
    <mergeCell ref="D60:F60"/>
    <mergeCell ref="D61:F61"/>
    <mergeCell ref="D62:F62"/>
    <mergeCell ref="D63:F63"/>
    <mergeCell ref="A64:B64"/>
    <mergeCell ref="C64:I64"/>
    <mergeCell ref="D65:J65"/>
    <mergeCell ref="D66:J66"/>
    <mergeCell ref="A67:B67"/>
    <mergeCell ref="D67:J67"/>
    <mergeCell ref="A3:A31"/>
    <mergeCell ref="A33:A36"/>
    <mergeCell ref="A38:A43"/>
    <mergeCell ref="A45:A49"/>
    <mergeCell ref="A51:A53"/>
    <mergeCell ref="A55:A57"/>
    <mergeCell ref="A59:A63"/>
    <mergeCell ref="B3:B31"/>
    <mergeCell ref="B33:B36"/>
    <mergeCell ref="B38:B43"/>
    <mergeCell ref="B45:B49"/>
    <mergeCell ref="B51:B53"/>
    <mergeCell ref="B55:B57"/>
    <mergeCell ref="B59:B63"/>
    <mergeCell ref="C3:C5"/>
    <mergeCell ref="L3:L31"/>
    <mergeCell ref="M3:M31"/>
    <mergeCell ref="M34:M36"/>
    <mergeCell ref="M39:M43"/>
    <mergeCell ref="M46:M49"/>
    <mergeCell ref="M52:M53"/>
    <mergeCell ref="M56:M57"/>
    <mergeCell ref="M60:M63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opLeftCell="A22" workbookViewId="0">
      <selection activeCell="H19" sqref="H19"/>
    </sheetView>
  </sheetViews>
  <sheetFormatPr defaultColWidth="9" defaultRowHeight="13.5" outlineLevelCol="7"/>
  <cols>
    <col min="1" max="1" width="6.625" customWidth="1"/>
    <col min="2" max="2" width="23.875" customWidth="1"/>
    <col min="3" max="3" width="39.75" customWidth="1"/>
    <col min="4" max="4" width="6.625" customWidth="1"/>
    <col min="5" max="5" width="8.375" customWidth="1"/>
    <col min="6" max="6" width="9.25" customWidth="1"/>
    <col min="7" max="7" width="13.25" customWidth="1"/>
    <col min="8" max="8" width="37.25" customWidth="1"/>
  </cols>
  <sheetData>
    <row r="1" ht="21" spans="1:8">
      <c r="A1" s="1" t="s">
        <v>58</v>
      </c>
      <c r="B1" s="1"/>
      <c r="C1" s="1"/>
      <c r="D1" s="1"/>
      <c r="E1" s="1"/>
      <c r="F1" s="1"/>
      <c r="G1" s="1"/>
    </row>
    <row r="2" ht="14.25" spans="1:8">
      <c r="A2" s="2" t="s">
        <v>1</v>
      </c>
      <c r="B2" s="3" t="s">
        <v>4</v>
      </c>
      <c r="C2" s="3" t="s">
        <v>59</v>
      </c>
      <c r="D2" s="3" t="s">
        <v>8</v>
      </c>
      <c r="E2" s="3" t="s">
        <v>5</v>
      </c>
      <c r="F2" s="3" t="s">
        <v>60</v>
      </c>
      <c r="G2" s="3" t="s">
        <v>24</v>
      </c>
    </row>
    <row r="3" ht="18.75" spans="1:8">
      <c r="A3" s="4">
        <v>1</v>
      </c>
      <c r="B3" s="5" t="s">
        <v>61</v>
      </c>
      <c r="C3" s="5"/>
      <c r="D3" s="6">
        <v>1</v>
      </c>
      <c r="E3" s="7" t="s">
        <v>62</v>
      </c>
      <c r="F3" s="8">
        <v>1850</v>
      </c>
      <c r="G3" s="9">
        <f t="shared" ref="G3:G12" si="0">F3*D3</f>
        <v>1850</v>
      </c>
      <c r="H3" t="s">
        <v>16</v>
      </c>
    </row>
    <row r="4" ht="18.75" spans="1:8">
      <c r="A4" s="4">
        <v>3</v>
      </c>
      <c r="B4" s="5" t="s">
        <v>63</v>
      </c>
      <c r="C4" s="5"/>
      <c r="D4" s="6">
        <v>1</v>
      </c>
      <c r="E4" s="7" t="s">
        <v>64</v>
      </c>
      <c r="F4" s="8">
        <v>500</v>
      </c>
      <c r="G4" s="9">
        <f t="shared" si="0"/>
        <v>500</v>
      </c>
    </row>
    <row r="5" ht="18.75" spans="1:8">
      <c r="A5" s="4">
        <v>6</v>
      </c>
      <c r="B5" s="5" t="s">
        <v>65</v>
      </c>
      <c r="C5" s="5"/>
      <c r="D5" s="6">
        <v>1</v>
      </c>
      <c r="E5" s="7" t="s">
        <v>62</v>
      </c>
      <c r="F5" s="8">
        <v>800</v>
      </c>
      <c r="G5" s="9">
        <f t="shared" si="0"/>
        <v>800</v>
      </c>
      <c r="H5">
        <f>SUM(G3:G5)</f>
        <v>3150</v>
      </c>
    </row>
    <row r="6" ht="18.75" spans="1:8">
      <c r="A6" s="4"/>
      <c r="B6" s="5"/>
      <c r="C6" s="5"/>
      <c r="D6" s="6"/>
      <c r="E6" s="7"/>
      <c r="F6" s="8"/>
      <c r="G6" s="9"/>
    </row>
    <row r="7" ht="18.75" spans="1:8">
      <c r="A7" s="4">
        <v>1</v>
      </c>
      <c r="B7" s="5" t="s">
        <v>66</v>
      </c>
      <c r="C7" s="5"/>
      <c r="D7" s="6">
        <v>1</v>
      </c>
      <c r="E7" s="7" t="s">
        <v>64</v>
      </c>
      <c r="F7" s="8">
        <v>2000</v>
      </c>
      <c r="G7" s="9">
        <f t="shared" si="0"/>
        <v>2000</v>
      </c>
      <c r="H7" t="s">
        <v>67</v>
      </c>
    </row>
    <row r="8" ht="18.75" spans="1:8">
      <c r="A8" s="4">
        <v>2</v>
      </c>
      <c r="B8" s="5" t="s">
        <v>68</v>
      </c>
      <c r="C8" s="5"/>
      <c r="D8" s="6">
        <v>1</v>
      </c>
      <c r="E8" s="7" t="s">
        <v>69</v>
      </c>
      <c r="F8" s="8">
        <v>2000</v>
      </c>
      <c r="G8" s="9">
        <f t="shared" si="0"/>
        <v>2000</v>
      </c>
    </row>
    <row r="9" ht="18.75" spans="1:8">
      <c r="A9" s="4">
        <v>3</v>
      </c>
      <c r="B9" s="5" t="s">
        <v>70</v>
      </c>
      <c r="C9" s="5"/>
      <c r="D9" s="6">
        <v>1</v>
      </c>
      <c r="E9" s="7"/>
      <c r="F9" s="8">
        <v>2500</v>
      </c>
      <c r="G9" s="9">
        <f t="shared" si="0"/>
        <v>2500</v>
      </c>
    </row>
    <row r="10" ht="18.75" spans="1:8">
      <c r="A10" s="4">
        <v>4</v>
      </c>
      <c r="B10" s="5" t="s">
        <v>71</v>
      </c>
      <c r="C10" s="5"/>
      <c r="D10" s="6">
        <v>1</v>
      </c>
      <c r="E10" s="7"/>
      <c r="F10" s="8">
        <v>500</v>
      </c>
      <c r="G10" s="9">
        <f t="shared" si="0"/>
        <v>500</v>
      </c>
    </row>
    <row r="11" ht="18.75" spans="1:8">
      <c r="A11" s="4">
        <v>5</v>
      </c>
      <c r="B11" s="5"/>
      <c r="C11" s="5"/>
      <c r="D11" s="6"/>
      <c r="E11" s="7"/>
      <c r="F11" s="8"/>
      <c r="G11" s="9">
        <f t="shared" si="0"/>
        <v>0</v>
      </c>
    </row>
    <row r="12" ht="18.75" spans="1:8">
      <c r="A12" s="4">
        <v>6</v>
      </c>
      <c r="B12" s="5" t="s">
        <v>65</v>
      </c>
      <c r="C12" s="5"/>
      <c r="D12" s="6">
        <v>1</v>
      </c>
      <c r="E12" s="7" t="s">
        <v>62</v>
      </c>
      <c r="F12" s="8">
        <v>800</v>
      </c>
      <c r="G12" s="9">
        <f t="shared" si="0"/>
        <v>800</v>
      </c>
      <c r="H12">
        <f>SUM(G7:G12)</f>
        <v>7800</v>
      </c>
    </row>
    <row r="13" ht="18.75" spans="1:8">
      <c r="A13" s="4"/>
      <c r="B13" s="5"/>
      <c r="C13" s="5"/>
      <c r="D13" s="6"/>
      <c r="E13" s="7"/>
      <c r="F13" s="8"/>
      <c r="G13" s="9"/>
    </row>
    <row r="14" ht="18.75" spans="1:8">
      <c r="A14" s="4">
        <v>1</v>
      </c>
      <c r="B14" s="5" t="s">
        <v>66</v>
      </c>
      <c r="C14" s="5"/>
      <c r="D14" s="6">
        <v>1</v>
      </c>
      <c r="E14" s="7" t="s">
        <v>64</v>
      </c>
      <c r="F14" s="8">
        <v>2000</v>
      </c>
      <c r="G14" s="9">
        <f t="shared" ref="G14:G20" si="1">F14*D14</f>
        <v>2000</v>
      </c>
      <c r="H14" t="s">
        <v>72</v>
      </c>
    </row>
    <row r="15" ht="18.75" spans="1:8">
      <c r="A15" s="4">
        <v>2</v>
      </c>
      <c r="B15" s="5" t="s">
        <v>68</v>
      </c>
      <c r="C15" s="5"/>
      <c r="D15" s="6">
        <v>1</v>
      </c>
      <c r="E15" s="7" t="s">
        <v>69</v>
      </c>
      <c r="F15" s="8">
        <v>2000</v>
      </c>
      <c r="G15" s="9">
        <f t="shared" si="1"/>
        <v>2000</v>
      </c>
    </row>
    <row r="16" ht="18.75" spans="1:8">
      <c r="A16" s="4">
        <v>3</v>
      </c>
      <c r="B16" s="5"/>
      <c r="C16" s="5"/>
      <c r="D16" s="6"/>
      <c r="E16" s="7"/>
      <c r="F16" s="8"/>
      <c r="G16" s="9">
        <f t="shared" si="1"/>
        <v>0</v>
      </c>
    </row>
    <row r="17" ht="18.75" spans="1:8">
      <c r="A17" s="4">
        <v>4</v>
      </c>
      <c r="B17" s="5"/>
      <c r="C17" s="5"/>
      <c r="D17" s="6"/>
      <c r="E17" s="7"/>
      <c r="F17" s="8"/>
      <c r="G17" s="9">
        <f t="shared" si="1"/>
        <v>0</v>
      </c>
    </row>
    <row r="18" ht="18.75" spans="1:8">
      <c r="A18" s="4">
        <v>5</v>
      </c>
      <c r="B18" s="5"/>
      <c r="C18" s="5"/>
      <c r="D18" s="6"/>
      <c r="E18" s="7"/>
      <c r="F18" s="8"/>
      <c r="G18" s="9">
        <f t="shared" si="1"/>
        <v>0</v>
      </c>
    </row>
    <row r="19" ht="18.75" spans="1:8">
      <c r="A19" s="4">
        <v>6</v>
      </c>
      <c r="B19" s="5"/>
      <c r="C19" s="5"/>
      <c r="D19" s="6"/>
      <c r="E19" s="7"/>
      <c r="F19" s="8"/>
      <c r="G19" s="9">
        <f t="shared" si="1"/>
        <v>0</v>
      </c>
    </row>
    <row r="20" ht="18.75" spans="1:8">
      <c r="A20" s="4">
        <v>7</v>
      </c>
      <c r="B20" s="5"/>
      <c r="C20" s="5"/>
      <c r="D20" s="6"/>
      <c r="E20" s="7"/>
      <c r="F20" s="8"/>
      <c r="G20" s="9">
        <f t="shared" si="1"/>
        <v>0</v>
      </c>
    </row>
    <row r="21" ht="18.75" spans="1:8">
      <c r="A21" s="4">
        <v>8</v>
      </c>
      <c r="B21" s="5" t="s">
        <v>65</v>
      </c>
      <c r="C21" s="5"/>
      <c r="D21" s="6">
        <v>1</v>
      </c>
      <c r="E21" s="7" t="s">
        <v>62</v>
      </c>
      <c r="F21" s="8">
        <v>800</v>
      </c>
      <c r="G21" s="9">
        <f t="shared" ref="G21:G29" si="2">F21*D21</f>
        <v>800</v>
      </c>
      <c r="H21">
        <f>SUM(G14:G21)</f>
        <v>4800</v>
      </c>
    </row>
    <row r="22" ht="18.75" spans="1:8">
      <c r="A22" s="4"/>
      <c r="B22" s="5"/>
      <c r="C22" s="5"/>
      <c r="D22" s="6"/>
      <c r="E22" s="7"/>
      <c r="F22" s="8"/>
      <c r="G22" s="9"/>
    </row>
    <row r="23" ht="18.75" spans="1:8">
      <c r="A23" s="4">
        <v>1</v>
      </c>
      <c r="B23" s="5" t="s">
        <v>66</v>
      </c>
      <c r="C23" s="5"/>
      <c r="D23" s="6">
        <v>1</v>
      </c>
      <c r="E23" s="7" t="s">
        <v>64</v>
      </c>
      <c r="F23" s="8">
        <v>2000</v>
      </c>
      <c r="G23" s="9">
        <f t="shared" si="2"/>
        <v>2000</v>
      </c>
      <c r="H23" t="s">
        <v>73</v>
      </c>
    </row>
    <row r="24" ht="18.75" spans="1:8">
      <c r="A24" s="4">
        <v>2</v>
      </c>
      <c r="B24" s="5" t="s">
        <v>68</v>
      </c>
      <c r="C24" s="5"/>
      <c r="D24" s="6">
        <v>1</v>
      </c>
      <c r="E24" s="7" t="s">
        <v>69</v>
      </c>
      <c r="F24" s="8">
        <v>2000</v>
      </c>
      <c r="G24" s="9">
        <f t="shared" si="2"/>
        <v>2000</v>
      </c>
    </row>
    <row r="25" ht="18.75" spans="1:8">
      <c r="A25" s="4">
        <v>3</v>
      </c>
      <c r="B25" s="5" t="s">
        <v>74</v>
      </c>
      <c r="C25" s="5"/>
      <c r="D25" s="6">
        <v>1</v>
      </c>
      <c r="E25" s="7" t="s">
        <v>64</v>
      </c>
      <c r="F25" s="8">
        <v>3000</v>
      </c>
      <c r="G25" s="9">
        <f t="shared" si="2"/>
        <v>3000</v>
      </c>
    </row>
    <row r="26" ht="18.75" spans="1:8">
      <c r="A26" s="4">
        <v>4</v>
      </c>
      <c r="B26" s="5" t="s">
        <v>75</v>
      </c>
      <c r="C26" s="5"/>
      <c r="D26" s="6">
        <v>1</v>
      </c>
      <c r="E26" s="7" t="s">
        <v>64</v>
      </c>
      <c r="F26" s="8">
        <v>10000</v>
      </c>
      <c r="G26" s="9">
        <f t="shared" si="2"/>
        <v>10000</v>
      </c>
    </row>
    <row r="27" ht="18.75" spans="1:8">
      <c r="A27" s="4">
        <v>5</v>
      </c>
      <c r="B27" s="5"/>
      <c r="C27" s="5"/>
      <c r="D27" s="6"/>
      <c r="E27" s="7"/>
      <c r="F27" s="8"/>
      <c r="G27" s="9">
        <f t="shared" si="2"/>
        <v>0</v>
      </c>
    </row>
    <row r="28" ht="18.75" spans="1:8">
      <c r="A28" s="4">
        <v>6</v>
      </c>
      <c r="B28" s="5"/>
      <c r="C28" s="5"/>
      <c r="D28" s="6"/>
      <c r="E28" s="7"/>
      <c r="F28" s="8"/>
      <c r="G28" s="9">
        <f t="shared" si="2"/>
        <v>0</v>
      </c>
    </row>
    <row r="29" ht="18.75" spans="1:8">
      <c r="A29" s="4">
        <v>7</v>
      </c>
      <c r="B29" s="5"/>
      <c r="C29" s="5"/>
      <c r="D29" s="6"/>
      <c r="E29" s="7"/>
      <c r="F29" s="8"/>
      <c r="G29" s="9">
        <f t="shared" si="2"/>
        <v>0</v>
      </c>
    </row>
    <row r="30" ht="18.75" spans="1:8">
      <c r="A30" s="4">
        <v>8</v>
      </c>
      <c r="B30" s="5" t="s">
        <v>65</v>
      </c>
      <c r="C30" s="5"/>
      <c r="D30" s="6">
        <v>1</v>
      </c>
      <c r="E30" s="7" t="s">
        <v>62</v>
      </c>
      <c r="F30" s="8">
        <v>800</v>
      </c>
      <c r="G30" s="9">
        <f t="shared" ref="G30:G33" si="3">F30*D30</f>
        <v>800</v>
      </c>
      <c r="H30">
        <f>SUM(G23:G30)</f>
        <v>17800</v>
      </c>
    </row>
    <row r="31" ht="18.75" spans="1:8">
      <c r="A31" s="4"/>
      <c r="B31" s="5"/>
      <c r="C31" s="5"/>
      <c r="D31" s="6"/>
      <c r="E31" s="7"/>
      <c r="F31" s="8"/>
      <c r="G31" s="9"/>
    </row>
    <row r="32" ht="18.75" spans="1:8">
      <c r="A32" s="4">
        <v>1</v>
      </c>
      <c r="B32" s="5" t="s">
        <v>66</v>
      </c>
      <c r="C32" s="5"/>
      <c r="D32" s="6">
        <v>1</v>
      </c>
      <c r="E32" s="7" t="s">
        <v>64</v>
      </c>
      <c r="F32" s="8">
        <v>2000</v>
      </c>
      <c r="G32" s="9">
        <f t="shared" si="3"/>
        <v>2000</v>
      </c>
      <c r="H32" t="s">
        <v>76</v>
      </c>
    </row>
    <row r="33" ht="18.75" spans="1:8">
      <c r="A33" s="4">
        <v>2</v>
      </c>
      <c r="B33" s="5" t="s">
        <v>68</v>
      </c>
      <c r="C33" s="5"/>
      <c r="D33" s="6">
        <v>1</v>
      </c>
      <c r="E33" s="7" t="s">
        <v>69</v>
      </c>
      <c r="F33" s="8">
        <v>2000</v>
      </c>
      <c r="G33" s="9">
        <f t="shared" si="3"/>
        <v>2000</v>
      </c>
    </row>
    <row r="34" ht="18.75" spans="1:8">
      <c r="A34" s="4">
        <v>3</v>
      </c>
      <c r="B34" s="5"/>
      <c r="C34" s="5"/>
      <c r="D34" s="6"/>
      <c r="E34" s="7"/>
      <c r="F34" s="8"/>
      <c r="G34" s="9"/>
    </row>
    <row r="35" ht="18.75" spans="1:8">
      <c r="A35" s="4">
        <v>4</v>
      </c>
      <c r="B35" s="5"/>
      <c r="C35" s="5"/>
      <c r="D35" s="6"/>
      <c r="E35" s="7"/>
      <c r="F35" s="8"/>
      <c r="G35" s="9"/>
    </row>
    <row r="36" ht="18.75" spans="1:8">
      <c r="A36" s="4">
        <v>5</v>
      </c>
      <c r="B36" s="5"/>
      <c r="C36" s="5"/>
      <c r="D36" s="6"/>
      <c r="E36" s="7"/>
      <c r="F36" s="8"/>
      <c r="G36" s="9"/>
    </row>
    <row r="37" ht="18.75" spans="1:8">
      <c r="A37" s="4">
        <v>6</v>
      </c>
      <c r="B37" s="5" t="s">
        <v>65</v>
      </c>
      <c r="C37" s="5"/>
      <c r="D37" s="6">
        <v>1</v>
      </c>
      <c r="E37" s="7" t="s">
        <v>62</v>
      </c>
      <c r="F37" s="8">
        <v>800</v>
      </c>
      <c r="G37" s="9">
        <f t="shared" ref="G37:G40" si="4">F37*D37</f>
        <v>800</v>
      </c>
      <c r="H37">
        <f>SUM(G32:G37)</f>
        <v>4800</v>
      </c>
    </row>
    <row r="38" ht="18.75" spans="1:8">
      <c r="A38" s="4"/>
      <c r="B38" s="5"/>
      <c r="C38" s="5"/>
      <c r="D38" s="6"/>
      <c r="E38" s="7"/>
      <c r="F38" s="8"/>
      <c r="G38" s="9"/>
    </row>
    <row r="39" ht="18.75" spans="1:8">
      <c r="A39" s="4">
        <v>1</v>
      </c>
      <c r="B39" s="5" t="s">
        <v>66</v>
      </c>
      <c r="C39" s="5"/>
      <c r="D39" s="6">
        <v>1</v>
      </c>
      <c r="E39" s="7" t="s">
        <v>64</v>
      </c>
      <c r="F39" s="8">
        <v>2000</v>
      </c>
      <c r="G39" s="9">
        <f t="shared" si="4"/>
        <v>2000</v>
      </c>
      <c r="H39" s="10" t="s">
        <v>77</v>
      </c>
    </row>
    <row r="40" ht="18.75" spans="1:8">
      <c r="A40" s="4">
        <v>2</v>
      </c>
      <c r="B40" s="5" t="s">
        <v>68</v>
      </c>
      <c r="C40" s="5"/>
      <c r="D40" s="6">
        <v>1</v>
      </c>
      <c r="E40" s="7" t="s">
        <v>69</v>
      </c>
      <c r="F40" s="8">
        <v>2000</v>
      </c>
      <c r="G40" s="9">
        <f t="shared" si="4"/>
        <v>2000</v>
      </c>
    </row>
    <row r="41" ht="18.75" spans="1:8">
      <c r="A41" s="4">
        <v>3</v>
      </c>
      <c r="B41" s="5"/>
      <c r="C41" s="5"/>
      <c r="D41" s="6"/>
      <c r="E41" s="7"/>
      <c r="F41" s="8"/>
      <c r="G41" s="9"/>
    </row>
    <row r="42" ht="18.75" spans="1:8">
      <c r="A42" s="4">
        <v>4</v>
      </c>
      <c r="B42" s="5"/>
      <c r="C42" s="5"/>
      <c r="D42" s="6"/>
      <c r="E42" s="7"/>
      <c r="F42" s="8"/>
      <c r="G42" s="9"/>
    </row>
    <row r="43" ht="18.75" spans="1:8">
      <c r="A43" s="4">
        <v>5</v>
      </c>
      <c r="B43" s="5" t="s">
        <v>71</v>
      </c>
      <c r="C43" s="5"/>
      <c r="D43" s="6">
        <v>1</v>
      </c>
      <c r="E43" s="7"/>
      <c r="F43" s="8">
        <v>500</v>
      </c>
      <c r="G43" s="9">
        <f>F43*D43</f>
        <v>500</v>
      </c>
    </row>
    <row r="44" ht="18.75" spans="1:8">
      <c r="A44" s="4">
        <v>6</v>
      </c>
      <c r="B44" s="5" t="s">
        <v>65</v>
      </c>
      <c r="C44" s="5"/>
      <c r="D44" s="6">
        <v>1</v>
      </c>
      <c r="E44" s="7" t="s">
        <v>62</v>
      </c>
      <c r="F44" s="8">
        <v>800</v>
      </c>
      <c r="G44" s="9">
        <f>F44*D44</f>
        <v>800</v>
      </c>
      <c r="H44">
        <f>SUM(G39:G44)</f>
        <v>5300</v>
      </c>
    </row>
    <row r="45" ht="18.75" spans="1:8">
      <c r="A45" s="4"/>
      <c r="B45" s="5"/>
      <c r="C45" s="5"/>
      <c r="D45" s="6"/>
      <c r="E45" s="7"/>
      <c r="F45" s="8"/>
      <c r="G45" s="9"/>
    </row>
    <row r="46" ht="18.75" spans="1:8">
      <c r="A46" s="4"/>
      <c r="B46" s="5"/>
      <c r="C46" s="5"/>
      <c r="D46" s="6"/>
      <c r="E46" s="7"/>
      <c r="F46" s="8"/>
      <c r="G46" s="9"/>
    </row>
    <row r="47" ht="18.75" spans="1:8">
      <c r="A47" s="4">
        <v>1</v>
      </c>
      <c r="B47" s="5" t="s">
        <v>66</v>
      </c>
      <c r="C47" s="5"/>
      <c r="D47" s="6">
        <v>1</v>
      </c>
      <c r="E47" s="7" t="s">
        <v>64</v>
      </c>
      <c r="F47" s="8">
        <v>2000</v>
      </c>
      <c r="G47" s="9">
        <f>F47*D47</f>
        <v>2000</v>
      </c>
      <c r="H47" t="s">
        <v>78</v>
      </c>
    </row>
    <row r="48" ht="18.75" spans="1:8">
      <c r="A48" s="4">
        <v>2</v>
      </c>
      <c r="B48" s="5" t="s">
        <v>68</v>
      </c>
      <c r="C48" s="5"/>
      <c r="D48" s="6">
        <v>3</v>
      </c>
      <c r="E48" s="7" t="s">
        <v>69</v>
      </c>
      <c r="F48" s="8">
        <v>2000</v>
      </c>
      <c r="G48" s="9">
        <f>F48*D48</f>
        <v>6000</v>
      </c>
    </row>
    <row r="49" ht="18.75" spans="1:8">
      <c r="A49" s="4">
        <v>3</v>
      </c>
      <c r="B49" s="5" t="s">
        <v>79</v>
      </c>
      <c r="C49" s="5"/>
      <c r="D49" s="6">
        <v>1</v>
      </c>
      <c r="E49" s="7"/>
      <c r="F49" s="8">
        <v>3500</v>
      </c>
      <c r="G49" s="9">
        <f>F49*D49</f>
        <v>3500</v>
      </c>
    </row>
    <row r="50" ht="18.75" spans="1:8">
      <c r="A50" s="4">
        <v>4</v>
      </c>
      <c r="B50" s="5"/>
      <c r="C50" s="5"/>
      <c r="D50" s="6"/>
      <c r="E50" s="7"/>
      <c r="F50" s="8"/>
      <c r="G50" s="9">
        <f>F50*D50</f>
        <v>0</v>
      </c>
    </row>
    <row r="51" ht="18.75" spans="1:8">
      <c r="A51" s="4">
        <v>5</v>
      </c>
      <c r="B51" s="5"/>
      <c r="C51" s="5"/>
      <c r="D51" s="6"/>
      <c r="E51" s="7"/>
      <c r="F51" s="8"/>
      <c r="G51" s="9">
        <f>F51*D51</f>
        <v>0</v>
      </c>
    </row>
    <row r="52" ht="18.75" spans="1:8">
      <c r="A52" s="4">
        <v>6</v>
      </c>
      <c r="B52" s="5" t="s">
        <v>65</v>
      </c>
      <c r="C52" s="5"/>
      <c r="D52" s="6">
        <v>1</v>
      </c>
      <c r="E52" s="7" t="s">
        <v>62</v>
      </c>
      <c r="F52" s="8">
        <v>800</v>
      </c>
      <c r="G52" s="9">
        <f t="shared" ref="G52:G57" si="5">F52*D52</f>
        <v>800</v>
      </c>
      <c r="H52">
        <f>SUM(G47:G52)</f>
        <v>12300</v>
      </c>
    </row>
    <row r="53" ht="18.75" spans="1:8">
      <c r="A53" s="4"/>
      <c r="B53" s="5"/>
      <c r="C53" s="5"/>
      <c r="D53" s="6"/>
      <c r="E53" s="7"/>
      <c r="F53" s="8"/>
      <c r="G53" s="9"/>
    </row>
    <row r="54" ht="18.75" spans="1:8">
      <c r="A54" s="4">
        <v>1</v>
      </c>
      <c r="B54" s="5" t="s">
        <v>66</v>
      </c>
      <c r="C54" s="5"/>
      <c r="D54" s="6">
        <v>1</v>
      </c>
      <c r="E54" s="7" t="s">
        <v>64</v>
      </c>
      <c r="F54" s="8">
        <v>2000</v>
      </c>
      <c r="G54" s="9">
        <f t="shared" si="5"/>
        <v>2000</v>
      </c>
      <c r="H54" t="s">
        <v>80</v>
      </c>
    </row>
    <row r="55" ht="18.75" spans="1:8">
      <c r="A55" s="4">
        <v>2</v>
      </c>
      <c r="B55" s="5" t="s">
        <v>68</v>
      </c>
      <c r="C55" s="5"/>
      <c r="D55" s="6">
        <v>1</v>
      </c>
      <c r="E55" s="7" t="s">
        <v>69</v>
      </c>
      <c r="F55" s="8">
        <v>2000</v>
      </c>
      <c r="G55" s="9">
        <f t="shared" si="5"/>
        <v>2000</v>
      </c>
    </row>
    <row r="56" ht="18.75" spans="1:8">
      <c r="A56" s="4">
        <v>3</v>
      </c>
      <c r="B56" s="5" t="s">
        <v>71</v>
      </c>
      <c r="C56" s="5"/>
      <c r="D56" s="6">
        <v>1</v>
      </c>
      <c r="E56" s="7"/>
      <c r="F56" s="8">
        <v>500</v>
      </c>
      <c r="G56" s="9">
        <f t="shared" si="5"/>
        <v>500</v>
      </c>
    </row>
    <row r="57" ht="18.75" spans="1:8">
      <c r="A57" s="4">
        <v>4</v>
      </c>
      <c r="B57" s="5"/>
      <c r="C57" s="5"/>
      <c r="D57" s="6"/>
      <c r="E57" s="7"/>
      <c r="F57" s="8"/>
      <c r="G57" s="9">
        <f t="shared" si="5"/>
        <v>0</v>
      </c>
    </row>
    <row r="58" ht="18.75" spans="1:8">
      <c r="A58" s="4">
        <v>5</v>
      </c>
      <c r="B58" s="5"/>
      <c r="C58" s="5"/>
      <c r="D58" s="6"/>
      <c r="E58" s="7"/>
      <c r="F58" s="8"/>
      <c r="G58" s="9"/>
    </row>
    <row r="59" ht="18.75" spans="1:8">
      <c r="A59" s="4">
        <v>6</v>
      </c>
      <c r="B59" s="5" t="s">
        <v>65</v>
      </c>
      <c r="C59" s="5"/>
      <c r="D59" s="6">
        <v>1</v>
      </c>
      <c r="E59" s="7" t="s">
        <v>62</v>
      </c>
      <c r="F59" s="8">
        <v>800</v>
      </c>
      <c r="G59" s="9">
        <f t="shared" ref="G59:G64" si="6">F59*D59</f>
        <v>800</v>
      </c>
      <c r="H59">
        <f>SUM(G54:G59)</f>
        <v>5300</v>
      </c>
    </row>
    <row r="60" ht="18.75" spans="1:8">
      <c r="A60" s="4"/>
      <c r="B60" s="5"/>
      <c r="C60" s="5"/>
      <c r="D60" s="6"/>
      <c r="E60" s="7"/>
      <c r="F60" s="8"/>
      <c r="G60" s="9"/>
    </row>
    <row r="61" ht="18.75" spans="1:8">
      <c r="A61" s="4">
        <v>1</v>
      </c>
      <c r="B61" s="5" t="s">
        <v>66</v>
      </c>
      <c r="C61" s="5"/>
      <c r="D61" s="6">
        <v>1</v>
      </c>
      <c r="E61" s="7" t="s">
        <v>64</v>
      </c>
      <c r="F61" s="8">
        <v>2000</v>
      </c>
      <c r="G61" s="9">
        <f t="shared" si="6"/>
        <v>2000</v>
      </c>
      <c r="H61" s="10" t="s">
        <v>81</v>
      </c>
    </row>
    <row r="62" ht="18.75" spans="1:8">
      <c r="A62" s="4">
        <v>2</v>
      </c>
      <c r="B62" s="5" t="s">
        <v>68</v>
      </c>
      <c r="C62" s="5"/>
      <c r="D62" s="6">
        <v>1</v>
      </c>
      <c r="E62" s="7" t="s">
        <v>69</v>
      </c>
      <c r="F62" s="8">
        <v>2000</v>
      </c>
      <c r="G62" s="9">
        <f t="shared" si="6"/>
        <v>2000</v>
      </c>
    </row>
    <row r="63" ht="18.75" spans="1:8">
      <c r="A63" s="4">
        <v>3</v>
      </c>
      <c r="B63" s="5" t="s">
        <v>82</v>
      </c>
      <c r="C63" s="5"/>
      <c r="D63" s="6">
        <v>1</v>
      </c>
      <c r="E63" s="7" t="s">
        <v>69</v>
      </c>
      <c r="F63" s="8">
        <v>3000</v>
      </c>
      <c r="G63" s="9">
        <f t="shared" si="6"/>
        <v>3000</v>
      </c>
    </row>
    <row r="64" ht="18.75" spans="1:8">
      <c r="A64" s="4">
        <v>4</v>
      </c>
      <c r="B64" s="5" t="s">
        <v>71</v>
      </c>
      <c r="C64" s="5"/>
      <c r="D64" s="6">
        <v>1</v>
      </c>
      <c r="E64" s="7"/>
      <c r="F64" s="8">
        <v>500</v>
      </c>
      <c r="G64" s="9">
        <f t="shared" si="6"/>
        <v>500</v>
      </c>
    </row>
    <row r="65" ht="18.75" spans="1:8">
      <c r="A65" s="4">
        <v>5</v>
      </c>
      <c r="B65" s="5"/>
      <c r="C65" s="5"/>
      <c r="D65" s="6"/>
      <c r="E65" s="7"/>
      <c r="F65" s="8"/>
      <c r="G65" s="9"/>
    </row>
    <row r="66" ht="18.75" spans="1:8">
      <c r="A66" s="4">
        <v>6</v>
      </c>
      <c r="B66" s="5" t="s">
        <v>65</v>
      </c>
      <c r="C66" s="5"/>
      <c r="D66" s="6">
        <v>1</v>
      </c>
      <c r="E66" s="7" t="s">
        <v>62</v>
      </c>
      <c r="F66" s="8">
        <v>800</v>
      </c>
      <c r="G66" s="9">
        <f>F66*D66</f>
        <v>800</v>
      </c>
      <c r="H66">
        <f>SUM(G61:G66)</f>
        <v>8300</v>
      </c>
    </row>
    <row r="67" ht="18.75" spans="1:8">
      <c r="A67" s="4"/>
      <c r="B67" s="5"/>
      <c r="C67" s="5"/>
      <c r="D67" s="6"/>
      <c r="E67" s="7"/>
      <c r="F67" s="8"/>
      <c r="G67" s="9"/>
    </row>
    <row r="68" ht="18.75" spans="1:8">
      <c r="A68" s="4">
        <v>1</v>
      </c>
      <c r="B68" s="5" t="s">
        <v>66</v>
      </c>
      <c r="C68" s="5"/>
      <c r="D68" s="6">
        <v>1</v>
      </c>
      <c r="E68" s="7" t="s">
        <v>64</v>
      </c>
      <c r="F68" s="8">
        <v>2000</v>
      </c>
      <c r="G68" s="9">
        <f t="shared" ref="G68:G75" si="7">F68*D68</f>
        <v>2000</v>
      </c>
      <c r="H68" t="s">
        <v>83</v>
      </c>
    </row>
    <row r="69" ht="18.75" spans="1:8">
      <c r="A69" s="4">
        <v>2</v>
      </c>
      <c r="B69" s="5" t="s">
        <v>68</v>
      </c>
      <c r="C69" s="5"/>
      <c r="D69" s="6">
        <v>1</v>
      </c>
      <c r="E69" s="7" t="s">
        <v>69</v>
      </c>
      <c r="F69" s="8">
        <v>2000</v>
      </c>
      <c r="G69" s="9">
        <f t="shared" si="7"/>
        <v>2000</v>
      </c>
    </row>
    <row r="70" ht="18.75" spans="1:8">
      <c r="A70" s="4">
        <v>3</v>
      </c>
      <c r="B70" s="5" t="s">
        <v>82</v>
      </c>
      <c r="C70" s="5"/>
      <c r="D70" s="6">
        <v>1</v>
      </c>
      <c r="E70" s="7" t="s">
        <v>69</v>
      </c>
      <c r="F70" s="8">
        <v>2200</v>
      </c>
      <c r="G70" s="9">
        <f t="shared" si="7"/>
        <v>2200</v>
      </c>
    </row>
    <row r="71" ht="18.75" spans="1:8">
      <c r="A71" s="4">
        <v>4</v>
      </c>
      <c r="B71" s="5" t="s">
        <v>84</v>
      </c>
      <c r="C71" s="5"/>
      <c r="D71" s="6">
        <v>1</v>
      </c>
      <c r="E71" s="7" t="s">
        <v>64</v>
      </c>
      <c r="F71" s="8">
        <v>6000</v>
      </c>
      <c r="G71" s="9">
        <f t="shared" si="7"/>
        <v>6000</v>
      </c>
    </row>
    <row r="72" ht="18.75" spans="1:8">
      <c r="A72" s="4">
        <v>5</v>
      </c>
      <c r="B72" s="5" t="s">
        <v>85</v>
      </c>
      <c r="C72" s="5"/>
      <c r="D72" s="6">
        <v>1</v>
      </c>
      <c r="E72" s="7" t="s">
        <v>64</v>
      </c>
      <c r="F72" s="8">
        <v>3500</v>
      </c>
      <c r="G72" s="9">
        <f t="shared" si="7"/>
        <v>3500</v>
      </c>
    </row>
    <row r="73" ht="18.75" spans="1:8">
      <c r="A73" s="4">
        <v>6</v>
      </c>
      <c r="B73" s="5"/>
      <c r="C73" s="5"/>
      <c r="D73" s="6"/>
      <c r="E73" s="7"/>
      <c r="F73" s="8"/>
      <c r="G73" s="9">
        <f t="shared" si="7"/>
        <v>0</v>
      </c>
    </row>
    <row r="74" ht="18.75" spans="1:8">
      <c r="A74" s="4">
        <v>7</v>
      </c>
      <c r="B74" s="5" t="s">
        <v>61</v>
      </c>
      <c r="C74" s="5"/>
      <c r="D74" s="6">
        <v>1</v>
      </c>
      <c r="E74" s="7" t="s">
        <v>62</v>
      </c>
      <c r="F74" s="8">
        <v>1850</v>
      </c>
      <c r="G74" s="9">
        <f t="shared" si="7"/>
        <v>1850</v>
      </c>
    </row>
    <row r="75" ht="18.75" spans="1:8">
      <c r="A75" s="4">
        <v>8</v>
      </c>
      <c r="B75" s="5" t="s">
        <v>65</v>
      </c>
      <c r="C75" s="5"/>
      <c r="D75" s="6">
        <v>1</v>
      </c>
      <c r="E75" s="7" t="s">
        <v>62</v>
      </c>
      <c r="F75" s="8">
        <v>800</v>
      </c>
      <c r="G75" s="9">
        <f t="shared" si="7"/>
        <v>800</v>
      </c>
      <c r="H75">
        <f>SUM(G68:G75)</f>
        <v>18350</v>
      </c>
    </row>
    <row r="76" ht="19.5" spans="1:8">
      <c r="A76" s="11"/>
      <c r="B76" s="12"/>
      <c r="C76" s="12"/>
      <c r="D76" s="13"/>
      <c r="E76" s="13"/>
      <c r="F76" s="14" t="s">
        <v>86</v>
      </c>
      <c r="G76" s="14">
        <f>SUM(G3:G75)</f>
        <v>87900</v>
      </c>
      <c r="H76">
        <f>SUM(H3:H75)</f>
        <v>87900</v>
      </c>
    </row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opLeftCell="A33" workbookViewId="0">
      <selection activeCell="C56" sqref="C56"/>
    </sheetView>
  </sheetViews>
  <sheetFormatPr defaultColWidth="9" defaultRowHeight="13.5" outlineLevelCol="7"/>
  <cols>
    <col min="1" max="1" width="6.625" customWidth="1"/>
    <col min="2" max="2" width="23.875" customWidth="1"/>
    <col min="3" max="3" width="39.75" customWidth="1"/>
    <col min="4" max="4" width="6.625" customWidth="1"/>
    <col min="5" max="5" width="8.375" customWidth="1"/>
    <col min="6" max="6" width="9.25" customWidth="1"/>
    <col min="7" max="7" width="13.25" customWidth="1"/>
    <col min="8" max="8" width="37.25" customWidth="1"/>
  </cols>
  <sheetData>
    <row r="1" ht="21" spans="1:8">
      <c r="A1" s="1" t="s">
        <v>58</v>
      </c>
      <c r="B1" s="1"/>
      <c r="C1" s="1"/>
      <c r="D1" s="1"/>
      <c r="E1" s="1"/>
      <c r="F1" s="1"/>
      <c r="G1" s="1"/>
    </row>
    <row r="2" ht="14.25" spans="1:8">
      <c r="A2" s="2" t="s">
        <v>1</v>
      </c>
      <c r="B2" s="3" t="s">
        <v>4</v>
      </c>
      <c r="C2" s="3" t="s">
        <v>59</v>
      </c>
      <c r="D2" s="3" t="s">
        <v>8</v>
      </c>
      <c r="E2" s="3" t="s">
        <v>5</v>
      </c>
      <c r="F2" s="3" t="s">
        <v>60</v>
      </c>
      <c r="G2" s="3" t="s">
        <v>24</v>
      </c>
    </row>
    <row r="3" ht="18.75" spans="1:8">
      <c r="A3" s="4">
        <v>1</v>
      </c>
      <c r="B3" s="5" t="s">
        <v>87</v>
      </c>
      <c r="C3" s="5" t="s">
        <v>88</v>
      </c>
      <c r="D3" s="6">
        <v>1</v>
      </c>
      <c r="E3" s="7" t="s">
        <v>89</v>
      </c>
      <c r="F3" s="8">
        <v>850</v>
      </c>
      <c r="G3" s="9">
        <f t="shared" ref="G3:G8" si="0">F3*D3</f>
        <v>850</v>
      </c>
      <c r="H3" t="s">
        <v>16</v>
      </c>
    </row>
    <row r="4" ht="18.75" spans="1:8">
      <c r="A4" s="4">
        <v>2</v>
      </c>
      <c r="B4" s="5" t="s">
        <v>90</v>
      </c>
      <c r="C4" s="5" t="s">
        <v>91</v>
      </c>
      <c r="D4" s="6">
        <v>6</v>
      </c>
      <c r="E4" s="7" t="s">
        <v>92</v>
      </c>
      <c r="F4" s="8">
        <v>200</v>
      </c>
      <c r="G4" s="9">
        <f t="shared" si="0"/>
        <v>1200</v>
      </c>
    </row>
    <row r="5" ht="18.75" spans="1:8">
      <c r="A5" s="4">
        <v>3</v>
      </c>
      <c r="B5" s="5" t="s">
        <v>93</v>
      </c>
      <c r="C5" s="5"/>
      <c r="D5" s="6">
        <v>1</v>
      </c>
      <c r="E5" s="7" t="s">
        <v>94</v>
      </c>
      <c r="F5" s="8">
        <v>1000</v>
      </c>
      <c r="G5" s="9">
        <f t="shared" si="0"/>
        <v>1000</v>
      </c>
    </row>
    <row r="6" ht="18.75" spans="1:8">
      <c r="A6" s="4">
        <v>4</v>
      </c>
      <c r="B6" s="5" t="s">
        <v>95</v>
      </c>
      <c r="C6" s="5" t="s">
        <v>96</v>
      </c>
      <c r="D6" s="6">
        <v>1</v>
      </c>
      <c r="E6" s="7" t="s">
        <v>97</v>
      </c>
      <c r="F6" s="8">
        <v>245</v>
      </c>
      <c r="G6" s="9">
        <f t="shared" si="0"/>
        <v>245</v>
      </c>
    </row>
    <row r="7" ht="18.75" spans="1:8">
      <c r="A7" s="4">
        <v>5</v>
      </c>
      <c r="B7" s="5" t="s">
        <v>65</v>
      </c>
      <c r="C7" s="5"/>
      <c r="D7" s="6">
        <v>1</v>
      </c>
      <c r="E7" s="7"/>
      <c r="F7" s="8">
        <v>800</v>
      </c>
      <c r="G7" s="9">
        <f t="shared" si="0"/>
        <v>800</v>
      </c>
    </row>
    <row r="8" ht="18.75" spans="1:8">
      <c r="A8" s="4">
        <v>6</v>
      </c>
      <c r="B8" s="5" t="s">
        <v>98</v>
      </c>
      <c r="C8" s="5"/>
      <c r="D8" s="6">
        <v>1</v>
      </c>
      <c r="E8" s="7" t="s">
        <v>62</v>
      </c>
      <c r="F8" s="8">
        <v>800</v>
      </c>
      <c r="G8" s="9">
        <f t="shared" si="0"/>
        <v>800</v>
      </c>
      <c r="H8">
        <f>SUM(G3:G8)</f>
        <v>4895</v>
      </c>
    </row>
    <row r="9" ht="18.75" spans="1:8">
      <c r="A9" s="4"/>
      <c r="B9" s="5"/>
      <c r="C9" s="5"/>
      <c r="D9" s="6"/>
      <c r="E9" s="7"/>
      <c r="F9" s="8"/>
      <c r="G9" s="9"/>
    </row>
    <row r="10" ht="18.75" spans="1:8">
      <c r="A10" s="4">
        <v>1</v>
      </c>
      <c r="B10" s="5" t="s">
        <v>87</v>
      </c>
      <c r="C10" s="5" t="s">
        <v>88</v>
      </c>
      <c r="D10" s="6">
        <v>1</v>
      </c>
      <c r="E10" s="7" t="s">
        <v>89</v>
      </c>
      <c r="F10" s="8">
        <v>850</v>
      </c>
      <c r="G10" s="9">
        <f t="shared" ref="G10:G15" si="1">F10*D10</f>
        <v>850</v>
      </c>
      <c r="H10" t="s">
        <v>67</v>
      </c>
    </row>
    <row r="11" ht="18.75" spans="1:8">
      <c r="A11" s="4">
        <v>2</v>
      </c>
      <c r="B11" s="5" t="s">
        <v>90</v>
      </c>
      <c r="C11" s="5" t="s">
        <v>91</v>
      </c>
      <c r="D11" s="6">
        <v>2</v>
      </c>
      <c r="E11" s="7" t="s">
        <v>92</v>
      </c>
      <c r="F11" s="8">
        <v>200</v>
      </c>
      <c r="G11" s="9">
        <f t="shared" si="1"/>
        <v>400</v>
      </c>
    </row>
    <row r="12" ht="18.75" spans="1:8">
      <c r="A12" s="4">
        <v>3</v>
      </c>
      <c r="B12" s="5" t="s">
        <v>93</v>
      </c>
      <c r="C12" s="5"/>
      <c r="D12" s="6">
        <v>1</v>
      </c>
      <c r="E12" s="7" t="s">
        <v>94</v>
      </c>
      <c r="F12" s="8">
        <v>1000</v>
      </c>
      <c r="G12" s="9">
        <f t="shared" si="1"/>
        <v>1000</v>
      </c>
    </row>
    <row r="13" ht="18.75" spans="1:8">
      <c r="A13" s="4">
        <v>4</v>
      </c>
      <c r="B13" s="5" t="s">
        <v>95</v>
      </c>
      <c r="C13" s="5" t="s">
        <v>96</v>
      </c>
      <c r="D13" s="6">
        <v>1</v>
      </c>
      <c r="E13" s="7" t="s">
        <v>97</v>
      </c>
      <c r="F13" s="8">
        <v>245</v>
      </c>
      <c r="G13" s="9">
        <f t="shared" si="1"/>
        <v>245</v>
      </c>
    </row>
    <row r="14" ht="18.75" spans="1:8">
      <c r="A14" s="4">
        <v>5</v>
      </c>
      <c r="B14" s="5" t="s">
        <v>65</v>
      </c>
      <c r="C14" s="5"/>
      <c r="D14" s="6">
        <v>1</v>
      </c>
      <c r="E14" s="7"/>
      <c r="F14" s="8">
        <v>800</v>
      </c>
      <c r="G14" s="9">
        <f t="shared" si="1"/>
        <v>800</v>
      </c>
    </row>
    <row r="15" ht="18.75" spans="1:8">
      <c r="A15" s="4">
        <v>6</v>
      </c>
      <c r="B15" s="5" t="s">
        <v>98</v>
      </c>
      <c r="C15" s="5"/>
      <c r="D15" s="6">
        <v>1</v>
      </c>
      <c r="E15" s="7" t="s">
        <v>62</v>
      </c>
      <c r="F15" s="8">
        <v>800</v>
      </c>
      <c r="G15" s="9">
        <f t="shared" si="1"/>
        <v>800</v>
      </c>
      <c r="H15">
        <f>SUM(G10:G15)</f>
        <v>4095</v>
      </c>
    </row>
    <row r="16" ht="18.75" spans="1:8">
      <c r="A16" s="4"/>
      <c r="B16" s="5"/>
      <c r="C16" s="5"/>
      <c r="D16" s="6"/>
      <c r="E16" s="7"/>
      <c r="F16" s="8"/>
      <c r="G16" s="9"/>
    </row>
    <row r="17" ht="18.75" spans="1:8">
      <c r="A17" s="4">
        <v>1</v>
      </c>
      <c r="B17" s="5" t="s">
        <v>87</v>
      </c>
      <c r="C17" s="5" t="s">
        <v>88</v>
      </c>
      <c r="D17" s="6">
        <v>1</v>
      </c>
      <c r="E17" s="7" t="s">
        <v>89</v>
      </c>
      <c r="F17" s="8">
        <v>850</v>
      </c>
      <c r="G17" s="9">
        <f t="shared" ref="G17:G22" si="2">F17*D17</f>
        <v>850</v>
      </c>
      <c r="H17" t="s">
        <v>72</v>
      </c>
    </row>
    <row r="18" ht="18.75" spans="1:8">
      <c r="A18" s="4">
        <v>2</v>
      </c>
      <c r="B18" s="5" t="s">
        <v>90</v>
      </c>
      <c r="C18" s="5" t="s">
        <v>91</v>
      </c>
      <c r="D18" s="6">
        <v>2</v>
      </c>
      <c r="E18" s="7" t="s">
        <v>92</v>
      </c>
      <c r="F18" s="8">
        <v>200</v>
      </c>
      <c r="G18" s="9">
        <f t="shared" si="2"/>
        <v>400</v>
      </c>
    </row>
    <row r="19" ht="18.75" spans="1:8">
      <c r="A19" s="4">
        <v>3</v>
      </c>
      <c r="B19" s="5" t="s">
        <v>93</v>
      </c>
      <c r="C19" s="5"/>
      <c r="D19" s="6">
        <v>1</v>
      </c>
      <c r="E19" s="7" t="s">
        <v>94</v>
      </c>
      <c r="F19" s="8">
        <v>1000</v>
      </c>
      <c r="G19" s="9">
        <f t="shared" si="2"/>
        <v>1000</v>
      </c>
    </row>
    <row r="20" ht="18.75" spans="1:8">
      <c r="A20" s="4">
        <v>4</v>
      </c>
      <c r="B20" s="5" t="s">
        <v>95</v>
      </c>
      <c r="C20" s="5" t="s">
        <v>96</v>
      </c>
      <c r="D20" s="6">
        <v>1</v>
      </c>
      <c r="E20" s="7" t="s">
        <v>97</v>
      </c>
      <c r="F20" s="8">
        <v>245</v>
      </c>
      <c r="G20" s="9">
        <f t="shared" si="2"/>
        <v>245</v>
      </c>
    </row>
    <row r="21" ht="18.75" spans="1:8">
      <c r="A21" s="4">
        <v>5</v>
      </c>
      <c r="B21" s="5" t="s">
        <v>65</v>
      </c>
      <c r="C21" s="5"/>
      <c r="D21" s="6">
        <v>1</v>
      </c>
      <c r="E21" s="7"/>
      <c r="F21" s="8">
        <v>800</v>
      </c>
      <c r="G21" s="9">
        <f t="shared" si="2"/>
        <v>800</v>
      </c>
    </row>
    <row r="22" ht="18.75" spans="1:8">
      <c r="A22" s="4">
        <v>6</v>
      </c>
      <c r="B22" s="5" t="s">
        <v>98</v>
      </c>
      <c r="C22" s="5"/>
      <c r="D22" s="6">
        <v>1</v>
      </c>
      <c r="E22" s="7" t="s">
        <v>62</v>
      </c>
      <c r="F22" s="8">
        <v>800</v>
      </c>
      <c r="G22" s="9">
        <f t="shared" si="2"/>
        <v>800</v>
      </c>
      <c r="H22">
        <f>SUM(G17:G22)</f>
        <v>4095</v>
      </c>
    </row>
    <row r="23" ht="18.75" spans="1:8">
      <c r="A23" s="4"/>
      <c r="B23" s="5"/>
      <c r="C23" s="5"/>
      <c r="D23" s="6"/>
      <c r="E23" s="7"/>
      <c r="F23" s="8"/>
      <c r="G23" s="9"/>
    </row>
    <row r="24" ht="18.75" spans="1:8">
      <c r="A24" s="4">
        <v>1</v>
      </c>
      <c r="B24" s="5" t="s">
        <v>99</v>
      </c>
      <c r="C24" s="5" t="s">
        <v>100</v>
      </c>
      <c r="D24" s="6">
        <v>1</v>
      </c>
      <c r="E24" s="7" t="s">
        <v>89</v>
      </c>
      <c r="F24" s="8">
        <v>1800</v>
      </c>
      <c r="G24" s="9">
        <f t="shared" ref="G24:G29" si="3">F24*D24</f>
        <v>1800</v>
      </c>
      <c r="H24" t="s">
        <v>73</v>
      </c>
    </row>
    <row r="25" ht="18.75" spans="1:8">
      <c r="A25" s="4">
        <v>2</v>
      </c>
      <c r="B25" s="5" t="s">
        <v>101</v>
      </c>
      <c r="C25" s="5" t="s">
        <v>102</v>
      </c>
      <c r="D25" s="6">
        <v>1</v>
      </c>
      <c r="E25" s="7" t="s">
        <v>89</v>
      </c>
      <c r="F25" s="8">
        <v>360</v>
      </c>
      <c r="G25" s="9">
        <f t="shared" si="3"/>
        <v>360</v>
      </c>
    </row>
    <row r="26" ht="18.75" spans="1:8">
      <c r="A26" s="4">
        <v>3</v>
      </c>
      <c r="B26" s="5" t="s">
        <v>103</v>
      </c>
      <c r="C26" s="5" t="s">
        <v>104</v>
      </c>
      <c r="D26" s="6">
        <v>1</v>
      </c>
      <c r="E26" s="7" t="s">
        <v>89</v>
      </c>
      <c r="F26" s="8">
        <v>360</v>
      </c>
      <c r="G26" s="9">
        <f t="shared" si="3"/>
        <v>360</v>
      </c>
    </row>
    <row r="27" ht="18.75" spans="1:8">
      <c r="A27" s="4">
        <v>4</v>
      </c>
      <c r="B27" s="5" t="s">
        <v>90</v>
      </c>
      <c r="C27" s="5" t="s">
        <v>91</v>
      </c>
      <c r="D27" s="6">
        <v>2</v>
      </c>
      <c r="E27" s="7" t="s">
        <v>92</v>
      </c>
      <c r="F27" s="8">
        <v>200</v>
      </c>
      <c r="G27" s="9">
        <f t="shared" si="3"/>
        <v>400</v>
      </c>
    </row>
    <row r="28" ht="18.75" spans="1:8">
      <c r="A28" s="4">
        <v>5</v>
      </c>
      <c r="B28" s="5" t="s">
        <v>93</v>
      </c>
      <c r="C28" s="5"/>
      <c r="D28" s="6">
        <v>1</v>
      </c>
      <c r="E28" s="7" t="s">
        <v>94</v>
      </c>
      <c r="F28" s="8">
        <v>1000</v>
      </c>
      <c r="G28" s="9">
        <f t="shared" si="3"/>
        <v>1000</v>
      </c>
    </row>
    <row r="29" ht="18.75" spans="1:8">
      <c r="A29" s="4">
        <v>6</v>
      </c>
      <c r="B29" s="5" t="s">
        <v>95</v>
      </c>
      <c r="C29" s="5" t="s">
        <v>96</v>
      </c>
      <c r="D29" s="6">
        <v>1</v>
      </c>
      <c r="E29" s="7" t="s">
        <v>97</v>
      </c>
      <c r="F29" s="8">
        <v>245</v>
      </c>
      <c r="G29" s="9">
        <f t="shared" si="3"/>
        <v>245</v>
      </c>
    </row>
    <row r="30" ht="18.75" spans="1:8">
      <c r="A30" s="4">
        <v>7</v>
      </c>
      <c r="B30" s="5" t="s">
        <v>65</v>
      </c>
      <c r="C30" s="5"/>
      <c r="D30" s="6">
        <v>1</v>
      </c>
      <c r="E30" s="7"/>
      <c r="F30" s="8">
        <v>800</v>
      </c>
      <c r="G30" s="9">
        <f t="shared" ref="G30:G38" si="4">F30*D30</f>
        <v>800</v>
      </c>
    </row>
    <row r="31" ht="18.75" spans="1:8">
      <c r="A31" s="4">
        <v>8</v>
      </c>
      <c r="B31" s="5" t="s">
        <v>98</v>
      </c>
      <c r="C31" s="5"/>
      <c r="D31" s="6">
        <v>1</v>
      </c>
      <c r="E31" s="7" t="s">
        <v>62</v>
      </c>
      <c r="F31" s="8">
        <v>800</v>
      </c>
      <c r="G31" s="9">
        <f t="shared" si="4"/>
        <v>800</v>
      </c>
      <c r="H31">
        <f>SUM(G24:G31)</f>
        <v>5765</v>
      </c>
    </row>
    <row r="32" ht="18.75" spans="1:8">
      <c r="A32" s="4"/>
      <c r="B32" s="5"/>
      <c r="C32" s="5"/>
      <c r="D32" s="6"/>
      <c r="E32" s="7"/>
      <c r="F32" s="8"/>
      <c r="G32" s="9"/>
    </row>
    <row r="33" ht="18.75" spans="1:8">
      <c r="A33" s="4">
        <v>1</v>
      </c>
      <c r="B33" s="5" t="s">
        <v>87</v>
      </c>
      <c r="C33" s="5" t="s">
        <v>88</v>
      </c>
      <c r="D33" s="6">
        <v>1</v>
      </c>
      <c r="E33" s="7" t="s">
        <v>89</v>
      </c>
      <c r="F33" s="8">
        <v>850</v>
      </c>
      <c r="G33" s="9">
        <f t="shared" si="4"/>
        <v>850</v>
      </c>
      <c r="H33" t="s">
        <v>76</v>
      </c>
    </row>
    <row r="34" ht="18.75" spans="1:8">
      <c r="A34" s="4">
        <v>2</v>
      </c>
      <c r="B34" s="5" t="s">
        <v>90</v>
      </c>
      <c r="C34" s="5" t="s">
        <v>91</v>
      </c>
      <c r="D34" s="6">
        <v>2</v>
      </c>
      <c r="E34" s="7" t="s">
        <v>92</v>
      </c>
      <c r="F34" s="8">
        <v>200</v>
      </c>
      <c r="G34" s="9">
        <f t="shared" si="4"/>
        <v>400</v>
      </c>
    </row>
    <row r="35" ht="18.75" spans="1:8">
      <c r="A35" s="4">
        <v>3</v>
      </c>
      <c r="B35" s="5" t="s">
        <v>93</v>
      </c>
      <c r="C35" s="5"/>
      <c r="D35" s="6">
        <v>1</v>
      </c>
      <c r="E35" s="7" t="s">
        <v>94</v>
      </c>
      <c r="F35" s="8">
        <v>1000</v>
      </c>
      <c r="G35" s="9">
        <f t="shared" si="4"/>
        <v>1000</v>
      </c>
    </row>
    <row r="36" ht="18.75" spans="1:8">
      <c r="A36" s="4">
        <v>4</v>
      </c>
      <c r="B36" s="5" t="s">
        <v>95</v>
      </c>
      <c r="C36" s="5" t="s">
        <v>96</v>
      </c>
      <c r="D36" s="6">
        <v>1</v>
      </c>
      <c r="E36" s="7" t="s">
        <v>97</v>
      </c>
      <c r="F36" s="8">
        <v>245</v>
      </c>
      <c r="G36" s="9">
        <f t="shared" si="4"/>
        <v>245</v>
      </c>
    </row>
    <row r="37" ht="18.75" spans="1:8">
      <c r="A37" s="4">
        <v>5</v>
      </c>
      <c r="B37" s="5" t="s">
        <v>65</v>
      </c>
      <c r="C37" s="5"/>
      <c r="D37" s="6">
        <v>1</v>
      </c>
      <c r="E37" s="7"/>
      <c r="F37" s="8">
        <v>800</v>
      </c>
      <c r="G37" s="9">
        <f t="shared" si="4"/>
        <v>800</v>
      </c>
    </row>
    <row r="38" ht="18.75" spans="1:8">
      <c r="A38" s="4">
        <v>6</v>
      </c>
      <c r="B38" s="5" t="s">
        <v>98</v>
      </c>
      <c r="C38" s="5"/>
      <c r="D38" s="6">
        <v>1</v>
      </c>
      <c r="E38" s="7" t="s">
        <v>62</v>
      </c>
      <c r="F38" s="8">
        <v>800</v>
      </c>
      <c r="G38" s="9">
        <f t="shared" si="4"/>
        <v>800</v>
      </c>
      <c r="H38">
        <f>SUM(G33:G38)</f>
        <v>4095</v>
      </c>
    </row>
    <row r="39" ht="18.75" spans="1:8">
      <c r="A39" s="4"/>
      <c r="B39" s="5"/>
      <c r="C39" s="5"/>
      <c r="D39" s="6"/>
      <c r="E39" s="7"/>
      <c r="F39" s="8"/>
      <c r="G39" s="9"/>
    </row>
    <row r="40" ht="18.75" spans="1:8">
      <c r="A40" s="4">
        <v>1</v>
      </c>
      <c r="B40" s="5" t="s">
        <v>87</v>
      </c>
      <c r="C40" s="5" t="s">
        <v>88</v>
      </c>
      <c r="D40" s="6">
        <v>1</v>
      </c>
      <c r="E40" s="7" t="s">
        <v>89</v>
      </c>
      <c r="F40" s="8">
        <v>850</v>
      </c>
      <c r="G40" s="9">
        <f t="shared" ref="G40:G45" si="5">F40*D40</f>
        <v>850</v>
      </c>
      <c r="H40" s="10" t="s">
        <v>77</v>
      </c>
    </row>
    <row r="41" ht="18.75" spans="1:8">
      <c r="A41" s="4">
        <v>2</v>
      </c>
      <c r="B41" s="5" t="s">
        <v>90</v>
      </c>
      <c r="C41" s="5" t="s">
        <v>91</v>
      </c>
      <c r="D41" s="6">
        <v>2</v>
      </c>
      <c r="E41" s="7" t="s">
        <v>92</v>
      </c>
      <c r="F41" s="8">
        <v>200</v>
      </c>
      <c r="G41" s="9">
        <f t="shared" si="5"/>
        <v>400</v>
      </c>
    </row>
    <row r="42" ht="18.75" spans="1:8">
      <c r="A42" s="4">
        <v>3</v>
      </c>
      <c r="B42" s="5" t="s">
        <v>93</v>
      </c>
      <c r="C42" s="5"/>
      <c r="D42" s="6">
        <v>1</v>
      </c>
      <c r="E42" s="7" t="s">
        <v>94</v>
      </c>
      <c r="F42" s="8">
        <v>1000</v>
      </c>
      <c r="G42" s="9">
        <f t="shared" si="5"/>
        <v>1000</v>
      </c>
    </row>
    <row r="43" ht="18.75" spans="1:8">
      <c r="A43" s="4">
        <v>4</v>
      </c>
      <c r="B43" s="5" t="s">
        <v>95</v>
      </c>
      <c r="C43" s="5" t="s">
        <v>96</v>
      </c>
      <c r="D43" s="6">
        <v>1</v>
      </c>
      <c r="E43" s="7" t="s">
        <v>97</v>
      </c>
      <c r="F43" s="8">
        <v>245</v>
      </c>
      <c r="G43" s="9">
        <f t="shared" si="5"/>
        <v>245</v>
      </c>
    </row>
    <row r="44" ht="18.75" spans="1:8">
      <c r="A44" s="4">
        <v>5</v>
      </c>
      <c r="B44" s="5" t="s">
        <v>65</v>
      </c>
      <c r="C44" s="5"/>
      <c r="D44" s="6">
        <v>1</v>
      </c>
      <c r="E44" s="7"/>
      <c r="F44" s="8">
        <v>800</v>
      </c>
      <c r="G44" s="9">
        <f t="shared" si="5"/>
        <v>800</v>
      </c>
    </row>
    <row r="45" ht="18.75" spans="1:8">
      <c r="A45" s="4">
        <v>6</v>
      </c>
      <c r="B45" s="5" t="s">
        <v>98</v>
      </c>
      <c r="C45" s="5"/>
      <c r="D45" s="6">
        <v>1</v>
      </c>
      <c r="E45" s="7" t="s">
        <v>62</v>
      </c>
      <c r="F45" s="8">
        <v>800</v>
      </c>
      <c r="G45" s="9">
        <f t="shared" si="5"/>
        <v>800</v>
      </c>
      <c r="H45">
        <f>SUM(G40:G45)</f>
        <v>4095</v>
      </c>
    </row>
    <row r="46" ht="18.75" spans="1:8">
      <c r="A46" s="4"/>
      <c r="B46" s="5"/>
      <c r="C46" s="5"/>
      <c r="D46" s="6"/>
      <c r="E46" s="7"/>
      <c r="F46" s="8"/>
      <c r="G46" s="9"/>
    </row>
    <row r="47" ht="18.75" spans="1:8">
      <c r="A47" s="4">
        <v>1</v>
      </c>
      <c r="B47" s="5" t="s">
        <v>87</v>
      </c>
      <c r="C47" s="5" t="s">
        <v>88</v>
      </c>
      <c r="D47" s="6">
        <v>1</v>
      </c>
      <c r="E47" s="7" t="s">
        <v>89</v>
      </c>
      <c r="F47" s="8">
        <v>850</v>
      </c>
      <c r="G47" s="9">
        <f t="shared" ref="G47:G52" si="6">F47*D47</f>
        <v>850</v>
      </c>
      <c r="H47" t="s">
        <v>78</v>
      </c>
    </row>
    <row r="48" ht="18.75" spans="1:8">
      <c r="A48" s="4">
        <v>2</v>
      </c>
      <c r="B48" s="5" t="s">
        <v>90</v>
      </c>
      <c r="C48" s="5" t="s">
        <v>91</v>
      </c>
      <c r="D48" s="6">
        <v>2</v>
      </c>
      <c r="E48" s="7" t="s">
        <v>92</v>
      </c>
      <c r="F48" s="8">
        <v>200</v>
      </c>
      <c r="G48" s="9">
        <f t="shared" si="6"/>
        <v>400</v>
      </c>
    </row>
    <row r="49" ht="18.75" spans="1:8">
      <c r="A49" s="4">
        <v>3</v>
      </c>
      <c r="B49" s="5" t="s">
        <v>93</v>
      </c>
      <c r="C49" s="5"/>
      <c r="D49" s="6">
        <v>1</v>
      </c>
      <c r="E49" s="7" t="s">
        <v>94</v>
      </c>
      <c r="F49" s="8">
        <v>1000</v>
      </c>
      <c r="G49" s="9">
        <f t="shared" si="6"/>
        <v>1000</v>
      </c>
    </row>
    <row r="50" ht="18.75" spans="1:8">
      <c r="A50" s="4">
        <v>4</v>
      </c>
      <c r="B50" s="5" t="s">
        <v>95</v>
      </c>
      <c r="C50" s="5" t="s">
        <v>96</v>
      </c>
      <c r="D50" s="6">
        <v>1</v>
      </c>
      <c r="E50" s="7" t="s">
        <v>97</v>
      </c>
      <c r="F50" s="8">
        <v>245</v>
      </c>
      <c r="G50" s="9">
        <f t="shared" si="6"/>
        <v>245</v>
      </c>
    </row>
    <row r="51" ht="18.75" spans="1:8">
      <c r="A51" s="4">
        <v>5</v>
      </c>
      <c r="B51" s="5" t="s">
        <v>65</v>
      </c>
      <c r="C51" s="5"/>
      <c r="D51" s="6">
        <v>1</v>
      </c>
      <c r="E51" s="7"/>
      <c r="F51" s="8">
        <v>800</v>
      </c>
      <c r="G51" s="9">
        <f t="shared" si="6"/>
        <v>800</v>
      </c>
    </row>
    <row r="52" ht="18.75" spans="1:8">
      <c r="A52" s="4">
        <v>6</v>
      </c>
      <c r="B52" s="5" t="s">
        <v>98</v>
      </c>
      <c r="C52" s="5"/>
      <c r="D52" s="6">
        <v>1</v>
      </c>
      <c r="E52" s="7" t="s">
        <v>62</v>
      </c>
      <c r="F52" s="8">
        <v>800</v>
      </c>
      <c r="G52" s="9">
        <f t="shared" si="6"/>
        <v>800</v>
      </c>
      <c r="H52">
        <f>SUM(G47:G52)</f>
        <v>4095</v>
      </c>
    </row>
    <row r="53" ht="18.75" spans="1:8">
      <c r="A53" s="4"/>
      <c r="B53" s="5"/>
      <c r="C53" s="5"/>
      <c r="D53" s="6"/>
      <c r="E53" s="7"/>
      <c r="F53" s="8"/>
      <c r="G53" s="9"/>
    </row>
    <row r="54" ht="18.75" spans="1:8">
      <c r="A54" s="4">
        <v>1</v>
      </c>
      <c r="B54" s="5" t="s">
        <v>87</v>
      </c>
      <c r="C54" s="5" t="s">
        <v>88</v>
      </c>
      <c r="D54" s="6">
        <v>1</v>
      </c>
      <c r="E54" s="7" t="s">
        <v>89</v>
      </c>
      <c r="F54" s="8">
        <v>850</v>
      </c>
      <c r="G54" s="9">
        <f t="shared" ref="G54:G59" si="7">F54*D54</f>
        <v>850</v>
      </c>
      <c r="H54" t="s">
        <v>80</v>
      </c>
    </row>
    <row r="55" ht="18.75" spans="1:8">
      <c r="A55" s="4">
        <v>2</v>
      </c>
      <c r="B55" s="5" t="s">
        <v>90</v>
      </c>
      <c r="C55" s="5" t="s">
        <v>91</v>
      </c>
      <c r="D55" s="6">
        <v>2</v>
      </c>
      <c r="E55" s="7" t="s">
        <v>92</v>
      </c>
      <c r="F55" s="8">
        <v>200</v>
      </c>
      <c r="G55" s="9">
        <f t="shared" si="7"/>
        <v>400</v>
      </c>
    </row>
    <row r="56" ht="18.75" spans="1:8">
      <c r="A56" s="4">
        <v>3</v>
      </c>
      <c r="B56" s="5" t="s">
        <v>93</v>
      </c>
      <c r="C56" s="5"/>
      <c r="D56" s="6">
        <v>1</v>
      </c>
      <c r="E56" s="7" t="s">
        <v>94</v>
      </c>
      <c r="F56" s="8">
        <v>1000</v>
      </c>
      <c r="G56" s="9">
        <f t="shared" si="7"/>
        <v>1000</v>
      </c>
    </row>
    <row r="57" ht="18.75" spans="1:8">
      <c r="A57" s="4">
        <v>4</v>
      </c>
      <c r="B57" s="5" t="s">
        <v>95</v>
      </c>
      <c r="C57" s="5" t="s">
        <v>96</v>
      </c>
      <c r="D57" s="6">
        <v>1</v>
      </c>
      <c r="E57" s="7" t="s">
        <v>97</v>
      </c>
      <c r="F57" s="8">
        <v>245</v>
      </c>
      <c r="G57" s="9">
        <f t="shared" si="7"/>
        <v>245</v>
      </c>
    </row>
    <row r="58" ht="18.75" spans="1:8">
      <c r="A58" s="4">
        <v>5</v>
      </c>
      <c r="B58" s="5" t="s">
        <v>65</v>
      </c>
      <c r="C58" s="5"/>
      <c r="D58" s="6">
        <v>1</v>
      </c>
      <c r="E58" s="7"/>
      <c r="F58" s="8">
        <v>800</v>
      </c>
      <c r="G58" s="9">
        <f t="shared" si="7"/>
        <v>800</v>
      </c>
    </row>
    <row r="59" ht="18.75" spans="1:8">
      <c r="A59" s="4">
        <v>6</v>
      </c>
      <c r="B59" s="5" t="s">
        <v>98</v>
      </c>
      <c r="C59" s="5"/>
      <c r="D59" s="6">
        <v>1</v>
      </c>
      <c r="E59" s="7" t="s">
        <v>62</v>
      </c>
      <c r="F59" s="8">
        <v>800</v>
      </c>
      <c r="G59" s="9">
        <f t="shared" si="7"/>
        <v>800</v>
      </c>
      <c r="H59">
        <f>SUM(G54:G59)</f>
        <v>4095</v>
      </c>
    </row>
    <row r="60" ht="18.75" spans="1:8">
      <c r="A60" s="4"/>
      <c r="B60" s="5"/>
      <c r="C60" s="5"/>
      <c r="D60" s="6"/>
      <c r="E60" s="7"/>
      <c r="F60" s="8"/>
      <c r="G60" s="9"/>
    </row>
    <row r="61" ht="18.75" spans="1:8">
      <c r="A61" s="4">
        <v>1</v>
      </c>
      <c r="B61" s="5" t="s">
        <v>87</v>
      </c>
      <c r="C61" s="5" t="s">
        <v>88</v>
      </c>
      <c r="D61" s="6">
        <v>1</v>
      </c>
      <c r="E61" s="7" t="s">
        <v>89</v>
      </c>
      <c r="F61" s="8">
        <v>850</v>
      </c>
      <c r="G61" s="9">
        <f t="shared" ref="G61:G66" si="8">F61*D61</f>
        <v>850</v>
      </c>
      <c r="H61" s="10" t="s">
        <v>81</v>
      </c>
    </row>
    <row r="62" ht="18.75" spans="1:8">
      <c r="A62" s="4">
        <v>2</v>
      </c>
      <c r="B62" s="5" t="s">
        <v>90</v>
      </c>
      <c r="C62" s="5" t="s">
        <v>91</v>
      </c>
      <c r="D62" s="6">
        <v>4</v>
      </c>
      <c r="E62" s="7" t="s">
        <v>92</v>
      </c>
      <c r="F62" s="8">
        <v>200</v>
      </c>
      <c r="G62" s="9">
        <f t="shared" si="8"/>
        <v>800</v>
      </c>
    </row>
    <row r="63" ht="18.75" spans="1:8">
      <c r="A63" s="4">
        <v>3</v>
      </c>
      <c r="B63" s="5" t="s">
        <v>93</v>
      </c>
      <c r="C63" s="5"/>
      <c r="D63" s="6">
        <v>1</v>
      </c>
      <c r="E63" s="7" t="s">
        <v>94</v>
      </c>
      <c r="F63" s="8">
        <v>1000</v>
      </c>
      <c r="G63" s="9">
        <f t="shared" si="8"/>
        <v>1000</v>
      </c>
    </row>
    <row r="64" ht="18.75" spans="1:8">
      <c r="A64" s="4">
        <v>4</v>
      </c>
      <c r="B64" s="5" t="s">
        <v>95</v>
      </c>
      <c r="C64" s="5" t="s">
        <v>96</v>
      </c>
      <c r="D64" s="6">
        <v>1</v>
      </c>
      <c r="E64" s="7" t="s">
        <v>97</v>
      </c>
      <c r="F64" s="8">
        <v>245</v>
      </c>
      <c r="G64" s="9">
        <f t="shared" si="8"/>
        <v>245</v>
      </c>
    </row>
    <row r="65" ht="18.75" spans="1:8">
      <c r="A65" s="4">
        <v>5</v>
      </c>
      <c r="B65" s="5" t="s">
        <v>65</v>
      </c>
      <c r="C65" s="5"/>
      <c r="D65" s="6">
        <v>1</v>
      </c>
      <c r="E65" s="7"/>
      <c r="F65" s="8">
        <v>800</v>
      </c>
      <c r="G65" s="9">
        <f t="shared" si="8"/>
        <v>800</v>
      </c>
    </row>
    <row r="66" ht="18.75" spans="1:8">
      <c r="A66" s="4">
        <v>6</v>
      </c>
      <c r="B66" s="5" t="s">
        <v>98</v>
      </c>
      <c r="C66" s="5"/>
      <c r="D66" s="6">
        <v>1</v>
      </c>
      <c r="E66" s="7" t="s">
        <v>62</v>
      </c>
      <c r="F66" s="8">
        <v>800</v>
      </c>
      <c r="G66" s="9">
        <f t="shared" si="8"/>
        <v>800</v>
      </c>
      <c r="H66">
        <f>SUM(G61:G66)</f>
        <v>4495</v>
      </c>
    </row>
    <row r="67" ht="18.75" spans="1:8">
      <c r="A67" s="4"/>
      <c r="B67" s="5"/>
      <c r="C67" s="5"/>
      <c r="D67" s="6"/>
      <c r="E67" s="7"/>
      <c r="F67" s="8"/>
      <c r="G67" s="9"/>
    </row>
    <row r="68" ht="18.75" spans="1:8">
      <c r="A68" s="4">
        <v>1</v>
      </c>
      <c r="B68" s="5" t="s">
        <v>99</v>
      </c>
      <c r="C68" s="5" t="s">
        <v>100</v>
      </c>
      <c r="D68" s="6">
        <v>1</v>
      </c>
      <c r="E68" s="7" t="s">
        <v>89</v>
      </c>
      <c r="F68" s="8">
        <v>1800</v>
      </c>
      <c r="G68" s="9">
        <f t="shared" ref="G68:G75" si="9">F68*D68</f>
        <v>1800</v>
      </c>
      <c r="H68" t="s">
        <v>83</v>
      </c>
    </row>
    <row r="69" ht="18.75" spans="1:8">
      <c r="A69" s="4">
        <v>2</v>
      </c>
      <c r="B69" s="5" t="s">
        <v>101</v>
      </c>
      <c r="C69" s="5" t="s">
        <v>102</v>
      </c>
      <c r="D69" s="6">
        <v>1</v>
      </c>
      <c r="E69" s="7" t="s">
        <v>89</v>
      </c>
      <c r="F69" s="8">
        <v>360</v>
      </c>
      <c r="G69" s="9">
        <f t="shared" si="9"/>
        <v>360</v>
      </c>
    </row>
    <row r="70" ht="18.75" spans="1:8">
      <c r="A70" s="4">
        <v>3</v>
      </c>
      <c r="B70" s="5" t="s">
        <v>103</v>
      </c>
      <c r="C70" s="5" t="s">
        <v>104</v>
      </c>
      <c r="D70" s="6">
        <v>1</v>
      </c>
      <c r="E70" s="7" t="s">
        <v>89</v>
      </c>
      <c r="F70" s="8">
        <v>360</v>
      </c>
      <c r="G70" s="9">
        <f t="shared" si="9"/>
        <v>360</v>
      </c>
    </row>
    <row r="71" ht="18.75" spans="1:8">
      <c r="A71" s="4">
        <v>4</v>
      </c>
      <c r="B71" s="5" t="s">
        <v>90</v>
      </c>
      <c r="C71" s="5" t="s">
        <v>91</v>
      </c>
      <c r="D71" s="6">
        <v>6</v>
      </c>
      <c r="E71" s="7" t="s">
        <v>92</v>
      </c>
      <c r="F71" s="8">
        <v>200</v>
      </c>
      <c r="G71" s="9">
        <f t="shared" si="9"/>
        <v>1200</v>
      </c>
    </row>
    <row r="72" ht="18.75" spans="1:8">
      <c r="A72" s="4">
        <v>5</v>
      </c>
      <c r="B72" s="5" t="s">
        <v>93</v>
      </c>
      <c r="C72" s="5"/>
      <c r="D72" s="6">
        <v>1</v>
      </c>
      <c r="E72" s="7" t="s">
        <v>94</v>
      </c>
      <c r="F72" s="8">
        <v>1000</v>
      </c>
      <c r="G72" s="9">
        <f t="shared" si="9"/>
        <v>1000</v>
      </c>
    </row>
    <row r="73" ht="18.75" spans="1:8">
      <c r="A73" s="4">
        <v>6</v>
      </c>
      <c r="B73" s="5" t="s">
        <v>95</v>
      </c>
      <c r="C73" s="5" t="s">
        <v>96</v>
      </c>
      <c r="D73" s="6">
        <v>1</v>
      </c>
      <c r="E73" s="7" t="s">
        <v>97</v>
      </c>
      <c r="F73" s="8">
        <v>245</v>
      </c>
      <c r="G73" s="9">
        <f t="shared" si="9"/>
        <v>245</v>
      </c>
    </row>
    <row r="74" ht="18.75" spans="1:8">
      <c r="A74" s="4">
        <v>7</v>
      </c>
      <c r="B74" s="5" t="s">
        <v>65</v>
      </c>
      <c r="C74" s="5"/>
      <c r="D74" s="6">
        <v>1</v>
      </c>
      <c r="E74" s="7"/>
      <c r="F74" s="8">
        <v>800</v>
      </c>
      <c r="G74" s="9">
        <f t="shared" si="9"/>
        <v>800</v>
      </c>
    </row>
    <row r="75" ht="18.75" spans="1:8">
      <c r="A75" s="4">
        <v>8</v>
      </c>
      <c r="B75" s="5" t="s">
        <v>98</v>
      </c>
      <c r="C75" s="5"/>
      <c r="D75" s="6">
        <v>1</v>
      </c>
      <c r="E75" s="7" t="s">
        <v>62</v>
      </c>
      <c r="F75" s="8">
        <v>800</v>
      </c>
      <c r="G75" s="9">
        <f t="shared" si="9"/>
        <v>800</v>
      </c>
      <c r="H75">
        <f>SUM(G68:G75)</f>
        <v>6565</v>
      </c>
    </row>
    <row r="76" ht="19.5" spans="1:8">
      <c r="A76" s="11"/>
      <c r="B76" s="12"/>
      <c r="C76" s="12"/>
      <c r="D76" s="13"/>
      <c r="E76" s="13"/>
      <c r="F76" s="14" t="s">
        <v>86</v>
      </c>
      <c r="G76" s="14">
        <f>SUM(G3:G75)</f>
        <v>46290</v>
      </c>
      <c r="H76">
        <f>SUM(H3:H75)</f>
        <v>46290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成本清单</vt:lpstr>
      <vt:lpstr>机械</vt:lpstr>
      <vt:lpstr>电气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xb21cn</dc:creator>
  <cp:lastModifiedBy>易敏</cp:lastModifiedBy>
  <dcterms:created xsi:type="dcterms:W3CDTF">2019-12-30T02:46:00Z</dcterms:created>
  <dcterms:modified xsi:type="dcterms:W3CDTF">2026-02-12T06:20:10Z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KSOReadingLayout">
    <vt:bool>false</vt:bool>
  </property>
  <property fmtid="{D5CDD505-2E9C-101B-9397-08002B2CF9AE}" pid="4" name="ICV">
    <vt:lpwstr>31D169E4B7A14BD18BDB215CAD0BA47C_13</vt:lpwstr>
  </property>
  <property fmtid="{D5CDD505-2E9C-101B-9397-08002B2CF9AE}" pid="5" name="CalculationRule">
    <vt:i4>0</vt:i4>
  </property>
</Properties>
</file>