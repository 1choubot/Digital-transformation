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组成总表" sheetId="9" r:id="rId1"/>
    <sheet name="结构零部件清单" sheetId="6" r:id="rId2"/>
    <sheet name="电气零部件清单" sheetId="10" r:id="rId3"/>
  </sheets>
  <definedNames>
    <definedName name="_xlnm.Print_Area" localSheetId="0">组成总表!$A$1:$I$15</definedName>
    <definedName name="_xlnm.Print_Area" localSheetId="1">结构零部件清单!$A$1:$J$18</definedName>
    <definedName name="_xlnm.Print_Area" localSheetId="2">电气零部件清单!$A$1:$J$19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<sst xmlns="http://schemas.openxmlformats.org/spreadsheetml/2006/main" count="239" uniqueCount="103">
  <si>
    <t>KRF26001面饼预制设备组成总表</t>
  </si>
  <si>
    <t>序号</t>
  </si>
  <si>
    <t>代号</t>
  </si>
  <si>
    <t>名称</t>
  </si>
  <si>
    <t>材料</t>
  </si>
  <si>
    <t>数量</t>
  </si>
  <si>
    <t>重量(KG)</t>
  </si>
  <si>
    <t>备注</t>
  </si>
  <si>
    <t>部件</t>
  </si>
  <si>
    <t>单件</t>
  </si>
  <si>
    <t>单重</t>
  </si>
  <si>
    <t>总重</t>
  </si>
  <si>
    <t>KRF26001-00</t>
  </si>
  <si>
    <t>面饼预制设备</t>
  </si>
  <si>
    <t>装配件</t>
  </si>
  <si>
    <t>KRF26001-01</t>
  </si>
  <si>
    <t>上料机构</t>
  </si>
  <si>
    <t>KRF26001-02</t>
  </si>
  <si>
    <t>切刀设备</t>
  </si>
  <si>
    <t>KRF26001-03</t>
  </si>
  <si>
    <t>框架总成</t>
  </si>
  <si>
    <t>KRF26001-04</t>
  </si>
  <si>
    <t>抓面机构</t>
  </si>
  <si>
    <t>KRF26001-05</t>
  </si>
  <si>
    <t>面盘传送装置</t>
  </si>
  <si>
    <t>KRF26001-06</t>
  </si>
  <si>
    <t>下料传送装置</t>
  </si>
  <si>
    <t>KRF26001-07</t>
  </si>
  <si>
    <t>烤箱传送装置</t>
  </si>
  <si>
    <t>KRF26001-90</t>
  </si>
  <si>
    <t>电气原理图</t>
  </si>
  <si>
    <t>KRF26001-91</t>
  </si>
  <si>
    <t>电气接线图</t>
  </si>
  <si>
    <t>KRF26001-92</t>
  </si>
  <si>
    <t>电气布置图</t>
  </si>
  <si>
    <t>设计：</t>
  </si>
  <si>
    <t>校对：</t>
  </si>
  <si>
    <t>审核：</t>
  </si>
  <si>
    <t>批准：</t>
  </si>
  <si>
    <t>KRF26001面饼预制设备结构零部件清单</t>
  </si>
  <si>
    <t>单位</t>
  </si>
  <si>
    <t>KRF26001-01-1</t>
  </si>
  <si>
    <t>传送链装置</t>
  </si>
  <si>
    <t>套</t>
  </si>
  <si>
    <t>1.1.1</t>
  </si>
  <si>
    <t>KRF26001-01-1-1</t>
  </si>
  <si>
    <t>盖板</t>
  </si>
  <si>
    <t>Q235B/板4</t>
  </si>
  <si>
    <t>个</t>
  </si>
  <si>
    <t>1.1.2</t>
  </si>
  <si>
    <t>KRF26001-01-1-2</t>
  </si>
  <si>
    <t>底板</t>
  </si>
  <si>
    <t>1.1.3</t>
  </si>
  <si>
    <t>GB/T5783</t>
  </si>
  <si>
    <t>六角头螺栓M12×20</t>
  </si>
  <si>
    <t>钢</t>
  </si>
  <si>
    <t>1.1.4</t>
  </si>
  <si>
    <t>GB/T6170</t>
  </si>
  <si>
    <t>1型六角螺母M12</t>
  </si>
  <si>
    <t>1.1.5</t>
  </si>
  <si>
    <t>GB97.1</t>
  </si>
  <si>
    <t>平垫圈12</t>
  </si>
  <si>
    <t>200HV</t>
  </si>
  <si>
    <t>1.1.6</t>
  </si>
  <si>
    <t>GB93</t>
  </si>
  <si>
    <t>弹簧垫圈12</t>
  </si>
  <si>
    <t>65Mn</t>
  </si>
  <si>
    <t>1.1.7</t>
  </si>
  <si>
    <t>V10-1aBL4-T</t>
  </si>
  <si>
    <t>小型微动开关</t>
  </si>
  <si>
    <t>组合件</t>
  </si>
  <si>
    <t>欧姆龙</t>
  </si>
  <si>
    <t>KRF26001-01-1/0</t>
  </si>
  <si>
    <t>上料框架</t>
  </si>
  <si>
    <t>焊接件</t>
  </si>
  <si>
    <t>1.2.1</t>
  </si>
  <si>
    <t>KRF26001-01-1/1</t>
  </si>
  <si>
    <t>立柱 L=1200</t>
  </si>
  <si>
    <t>Q235B/矩管60×40×2</t>
  </si>
  <si>
    <t>无图</t>
  </si>
  <si>
    <t>1.2.2</t>
  </si>
  <si>
    <t>KRF26001-01-1/2</t>
  </si>
  <si>
    <t>横梁 L=800</t>
  </si>
  <si>
    <t>Q235B/矩管40×40×2</t>
  </si>
  <si>
    <t>1.2.3</t>
  </si>
  <si>
    <t>KRF26001-01-1/3</t>
  </si>
  <si>
    <t>加强筋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</si>
  <si>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</si>
  <si>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</si>
  <si>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</si>
  <si>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</si>
  <si>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</si>
  <si>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</si>
  <si>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</si>
  <si>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</si>
  <si>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</si>
  <si>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2.2.5</t>
  </si>
  <si>
    <t>随机配件</t>
  </si>
  <si>
    <t>KRF26001面饼预制设备电气零部件清单</t>
  </si>
  <si>
    <t>1*2.5mm²zrr</t>
  </si>
  <si>
    <t>线缆蓝色</t>
  </si>
  <si>
    <t>卷</t>
  </si>
  <si>
    <t>1.1.8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</si>
</sst>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176" fontId="0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1000125</xdr:colOff>
      <xdr:row>0</xdr:row>
      <xdr:rowOff>581025</xdr:rowOff>
    </xdr:from>
    <xdr:ext cx="894080" cy="224155"/>
    <xdr:sp>
      <xdr:nvSpPr>
        <xdr:cNvPr id="2" name="文本框 1"/>
        <xdr:cNvSpPr txBox="1"/>
      </xdr:nvSpPr>
      <xdr:spPr>
        <a:xfrm>
          <a:off x="8632825" y="581025"/>
          <a:ext cx="894080" cy="2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800">
              <a:latin typeface="+mn-ea"/>
              <a:ea typeface="+mn-ea"/>
            </a:rPr>
            <a:t>版本：</a:t>
          </a:r>
          <a:r>
            <a:rPr lang="en-US" altLang="zh-CN" sz="800">
              <a:latin typeface="+mn-ea"/>
              <a:ea typeface="+mn-ea"/>
            </a:rPr>
            <a:t>20260312</a:t>
          </a:r>
          <a:endParaRPr lang="zh-CN" altLang="en-US" sz="800">
            <a:latin typeface="+mn-ea"/>
            <a:ea typeface="+mn-ea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981075</xdr:colOff>
      <xdr:row>0</xdr:row>
      <xdr:rowOff>142875</xdr:rowOff>
    </xdr:from>
    <xdr:ext cx="894080" cy="224155"/>
    <xdr:sp>
      <xdr:nvSpPr>
        <xdr:cNvPr id="2" name="文本框 1"/>
        <xdr:cNvSpPr txBox="1"/>
      </xdr:nvSpPr>
      <xdr:spPr>
        <a:xfrm>
          <a:off x="8791575" y="142875"/>
          <a:ext cx="894080" cy="2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>
              <a:latin typeface="+mn-ea"/>
              <a:ea typeface="+mn-ea"/>
            </a:rPr>
            <a:t>版本：</a:t>
          </a:r>
          <a:r>
            <a:rPr lang="en-US" altLang="zh-CN" sz="800">
              <a:latin typeface="+mn-ea"/>
              <a:ea typeface="+mn-ea"/>
            </a:rPr>
            <a:t>20260312</a:t>
          </a:r>
          <a:endParaRPr lang="en-US" altLang="zh-CN" sz="800">
            <a:latin typeface="+mn-ea"/>
            <a:ea typeface="+mn-ea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981075</xdr:colOff>
      <xdr:row>0</xdr:row>
      <xdr:rowOff>142875</xdr:rowOff>
    </xdr:from>
    <xdr:ext cx="894080" cy="224155"/>
    <xdr:sp>
      <xdr:nvSpPr>
        <xdr:cNvPr id="2" name="文本框 1"/>
        <xdr:cNvSpPr txBox="1"/>
      </xdr:nvSpPr>
      <xdr:spPr>
        <a:xfrm>
          <a:off x="8791575" y="142875"/>
          <a:ext cx="894080" cy="2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800">
              <a:latin typeface="+mn-ea"/>
              <a:ea typeface="+mn-ea"/>
            </a:rPr>
            <a:t>版本：</a:t>
          </a:r>
          <a:r>
            <a:rPr lang="en-US" altLang="zh-CN" sz="800">
              <a:latin typeface="+mn-ea"/>
              <a:ea typeface="+mn-ea"/>
            </a:rPr>
            <a:t>20260312</a:t>
          </a:r>
          <a:endParaRPr lang="en-US" altLang="zh-CN" sz="800">
            <a:latin typeface="+mn-ea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L14" sqref="L14"/>
    </sheetView>
  </sheetViews>
  <sheetFormatPr defaultColWidth="9" defaultRowHeight="13.5"/>
  <cols>
    <col min="1" max="1" width="6.45" style="1" customWidth="1"/>
    <col min="2" max="2" width="19.625" style="2" customWidth="1"/>
    <col min="3" max="3" width="27.875" style="2" customWidth="1"/>
    <col min="4" max="4" width="19.25" style="2" customWidth="1"/>
    <col min="5" max="5" width="5.45" style="2" customWidth="1"/>
    <col min="6" max="6" width="6.26666666666667" style="2" customWidth="1"/>
    <col min="7" max="8" width="7.625" style="2" customWidth="1"/>
    <col min="9" max="9" width="26.725" style="2" customWidth="1"/>
    <col min="10" max="16384" width="9" style="2"/>
  </cols>
  <sheetData>
    <row r="1" ht="67" customHeight="1" spans="1:9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ht="18" customHeight="1" spans="1:9">
      <c r="A2" s="19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21"/>
      <c r="G2" s="21" t="s">
        <v>6</v>
      </c>
      <c r="H2" s="21"/>
      <c r="I2" s="21" t="s">
        <v>7</v>
      </c>
    </row>
    <row r="3" ht="18" customHeight="1" spans="1:9">
      <c r="A3" s="19"/>
      <c r="B3" s="22"/>
      <c r="C3" s="22"/>
      <c r="D3" s="21"/>
      <c r="E3" s="21" t="s">
        <v>8</v>
      </c>
      <c r="F3" s="21" t="s">
        <v>9</v>
      </c>
      <c r="G3" s="21" t="s">
        <v>10</v>
      </c>
      <c r="H3" s="21" t="s">
        <v>11</v>
      </c>
      <c r="I3" s="21"/>
    </row>
    <row r="4" ht="30" customHeight="1" spans="1:9">
      <c r="A4" s="23">
        <v>0</v>
      </c>
      <c r="B4" s="23" t="s">
        <v>12</v>
      </c>
      <c r="C4" s="23" t="s">
        <v>13</v>
      </c>
      <c r="D4" s="23" t="s">
        <v>14</v>
      </c>
      <c r="E4" s="23">
        <v>1</v>
      </c>
      <c r="F4" s="23"/>
      <c r="G4" s="24">
        <f>SUM(H5:H14)</f>
        <v>781.86</v>
      </c>
      <c r="H4" s="24">
        <f>G4*E4</f>
        <v>781.86</v>
      </c>
      <c r="I4" s="25"/>
    </row>
    <row r="5" ht="30" customHeight="1" spans="1:9">
      <c r="A5" s="25">
        <v>1</v>
      </c>
      <c r="B5" s="23" t="s">
        <v>15</v>
      </c>
      <c r="C5" s="25" t="s">
        <v>16</v>
      </c>
      <c r="D5" s="25" t="s">
        <v>14</v>
      </c>
      <c r="E5" s="25"/>
      <c r="F5" s="25">
        <v>1</v>
      </c>
      <c r="G5" s="26">
        <v>104.86</v>
      </c>
      <c r="H5" s="26">
        <f>G5*F5</f>
        <v>104.86</v>
      </c>
      <c r="I5" s="25"/>
    </row>
    <row r="6" ht="30" customHeight="1" spans="1:9">
      <c r="A6" s="25">
        <v>2</v>
      </c>
      <c r="B6" s="23" t="s">
        <v>17</v>
      </c>
      <c r="C6" s="25" t="s">
        <v>18</v>
      </c>
      <c r="D6" s="25" t="s">
        <v>14</v>
      </c>
      <c r="E6" s="25"/>
      <c r="F6" s="25">
        <v>1</v>
      </c>
      <c r="G6" s="26">
        <v>8</v>
      </c>
      <c r="H6" s="26">
        <f t="shared" ref="H6:H11" si="0">G6*F6</f>
        <v>8</v>
      </c>
      <c r="I6" s="25"/>
    </row>
    <row r="7" ht="30" customHeight="1" spans="1:9">
      <c r="A7" s="25">
        <v>3</v>
      </c>
      <c r="B7" s="23" t="s">
        <v>19</v>
      </c>
      <c r="C7" s="25" t="s">
        <v>20</v>
      </c>
      <c r="D7" s="25" t="s">
        <v>14</v>
      </c>
      <c r="E7" s="25"/>
      <c r="F7" s="25">
        <v>1</v>
      </c>
      <c r="G7" s="26">
        <v>220</v>
      </c>
      <c r="H7" s="26">
        <f t="shared" si="0"/>
        <v>220</v>
      </c>
      <c r="I7" s="25"/>
    </row>
    <row r="8" ht="30" customHeight="1" spans="1:9">
      <c r="A8" s="25">
        <v>4</v>
      </c>
      <c r="B8" s="23" t="s">
        <v>21</v>
      </c>
      <c r="C8" s="25" t="s">
        <v>22</v>
      </c>
      <c r="D8" s="25" t="s">
        <v>14</v>
      </c>
      <c r="E8" s="25"/>
      <c r="F8" s="25">
        <v>1</v>
      </c>
      <c r="G8" s="26">
        <v>25</v>
      </c>
      <c r="H8" s="26">
        <f t="shared" si="0"/>
        <v>25</v>
      </c>
      <c r="I8" s="25"/>
    </row>
    <row r="9" ht="30" customHeight="1" spans="1:9">
      <c r="A9" s="25">
        <v>5</v>
      </c>
      <c r="B9" s="23" t="s">
        <v>23</v>
      </c>
      <c r="C9" s="25" t="s">
        <v>24</v>
      </c>
      <c r="D9" s="25" t="s">
        <v>14</v>
      </c>
      <c r="E9" s="25"/>
      <c r="F9" s="25">
        <v>1</v>
      </c>
      <c r="G9" s="26">
        <v>64</v>
      </c>
      <c r="H9" s="26">
        <f t="shared" si="0"/>
        <v>64</v>
      </c>
      <c r="I9" s="25"/>
    </row>
    <row r="10" ht="30" customHeight="1" spans="1:9">
      <c r="A10" s="25">
        <v>6</v>
      </c>
      <c r="B10" s="23" t="s">
        <v>25</v>
      </c>
      <c r="C10" s="25" t="s">
        <v>26</v>
      </c>
      <c r="D10" s="25" t="s">
        <v>14</v>
      </c>
      <c r="E10" s="25"/>
      <c r="F10" s="25">
        <v>2</v>
      </c>
      <c r="G10" s="26">
        <v>120</v>
      </c>
      <c r="H10" s="26">
        <f t="shared" si="0"/>
        <v>240</v>
      </c>
      <c r="I10" s="25"/>
    </row>
    <row r="11" ht="30" customHeight="1" spans="1:9">
      <c r="A11" s="25">
        <v>7</v>
      </c>
      <c r="B11" s="23" t="s">
        <v>27</v>
      </c>
      <c r="C11" s="25" t="s">
        <v>28</v>
      </c>
      <c r="D11" s="25" t="s">
        <v>14</v>
      </c>
      <c r="E11" s="25"/>
      <c r="F11" s="25">
        <v>1</v>
      </c>
      <c r="G11" s="26">
        <v>85</v>
      </c>
      <c r="H11" s="26">
        <f t="shared" si="0"/>
        <v>85</v>
      </c>
      <c r="I11" s="25"/>
    </row>
    <row r="12" ht="30" customHeight="1" spans="1:9">
      <c r="A12" s="25">
        <v>8</v>
      </c>
      <c r="B12" s="23" t="s">
        <v>29</v>
      </c>
      <c r="C12" s="25" t="s">
        <v>30</v>
      </c>
      <c r="D12" s="25"/>
      <c r="E12" s="25"/>
      <c r="F12" s="25">
        <v>1</v>
      </c>
      <c r="G12" s="26">
        <v>0</v>
      </c>
      <c r="H12" s="26">
        <f>G12*E12</f>
        <v>0</v>
      </c>
      <c r="I12" s="25"/>
    </row>
    <row r="13" ht="30" customHeight="1" spans="1:9">
      <c r="A13" s="25">
        <v>9</v>
      </c>
      <c r="B13" s="23" t="s">
        <v>31</v>
      </c>
      <c r="C13" s="25" t="s">
        <v>32</v>
      </c>
      <c r="D13" s="25"/>
      <c r="E13" s="25"/>
      <c r="F13" s="25">
        <v>1</v>
      </c>
      <c r="G13" s="26">
        <v>0</v>
      </c>
      <c r="H13" s="26">
        <f>G13*F13</f>
        <v>0</v>
      </c>
      <c r="I13" s="25"/>
    </row>
    <row r="14" ht="30" customHeight="1" spans="1:9">
      <c r="A14" s="25">
        <v>10</v>
      </c>
      <c r="B14" s="23" t="s">
        <v>33</v>
      </c>
      <c r="C14" s="25" t="s">
        <v>34</v>
      </c>
      <c r="D14" s="25"/>
      <c r="E14" s="25"/>
      <c r="F14" s="25">
        <v>1</v>
      </c>
      <c r="G14" s="26">
        <v>35</v>
      </c>
      <c r="H14" s="26">
        <f>G14*F14</f>
        <v>35</v>
      </c>
      <c r="I14" s="25"/>
    </row>
    <row r="15" ht="42" customHeight="1" spans="1:9">
      <c r="A15" s="27" t="s">
        <v>35</v>
      </c>
      <c r="B15" s="28"/>
      <c r="C15" s="28" t="s">
        <v>36</v>
      </c>
      <c r="D15" s="28" t="s">
        <v>37</v>
      </c>
      <c r="E15" s="28"/>
      <c r="F15" s="28"/>
      <c r="G15" s="28" t="s">
        <v>38</v>
      </c>
      <c r="H15" s="28"/>
      <c r="I15" s="29"/>
    </row>
  </sheetData>
  <mergeCells count="11">
    <mergeCell ref="A1:I1"/>
    <mergeCell ref="E2:F2"/>
    <mergeCell ref="G2:H2"/>
    <mergeCell ref="A15:B15"/>
    <mergeCell ref="D15:F15"/>
    <mergeCell ref="G15:I15"/>
    <mergeCell ref="A2:A3"/>
    <mergeCell ref="B2:B3"/>
    <mergeCell ref="C2:C3"/>
    <mergeCell ref="D2:D3"/>
    <mergeCell ref="I2:I3"/>
  </mergeCells>
  <printOptions horizontalCentered="1"/>
  <pageMargins left="0.751388888888889" right="0.751388888888889" top="0.60625" bottom="0.60625" header="0.5" footer="0.5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N24" sqref="N24"/>
    </sheetView>
  </sheetViews>
  <sheetFormatPr defaultColWidth="9" defaultRowHeight="13.5"/>
  <cols>
    <col min="1" max="1" width="6.45" style="1" customWidth="1"/>
    <col min="2" max="2" width="19.75" style="2" customWidth="1"/>
    <col min="3" max="3" width="28.375" style="2" customWidth="1"/>
    <col min="4" max="4" width="19.5" style="2" customWidth="1"/>
    <col min="5" max="5" width="4.625" style="2" customWidth="1"/>
    <col min="6" max="6" width="5.45" style="2" customWidth="1"/>
    <col min="7" max="7" width="6.26666666666667" style="2" customWidth="1"/>
    <col min="8" max="8" width="6.63333333333333" style="2" customWidth="1"/>
    <col min="9" max="9" width="5.45" style="2" customWidth="1"/>
    <col min="10" max="10" width="26.725" style="2" customWidth="1"/>
    <col min="11" max="16384" width="9" style="2"/>
  </cols>
  <sheetData>
    <row r="1" ht="30" customHeight="1" spans="1:10">
      <c r="A1" s="3" t="s">
        <v>39</v>
      </c>
      <c r="B1" s="4"/>
      <c r="C1" s="4"/>
      <c r="D1" s="4"/>
      <c r="E1" s="4"/>
      <c r="F1" s="4"/>
      <c r="G1" s="4"/>
      <c r="H1" s="4"/>
      <c r="I1" s="4"/>
      <c r="J1" s="5"/>
    </row>
    <row r="2" ht="18" customHeight="1" spans="1:10">
      <c r="A2" s="6" t="s">
        <v>1</v>
      </c>
      <c r="B2" s="7" t="s">
        <v>2</v>
      </c>
      <c r="C2" s="7" t="s">
        <v>3</v>
      </c>
      <c r="D2" s="8" t="s">
        <v>4</v>
      </c>
      <c r="E2" s="7" t="s">
        <v>40</v>
      </c>
      <c r="F2" s="8" t="s">
        <v>5</v>
      </c>
      <c r="G2" s="8"/>
      <c r="H2" s="8" t="s">
        <v>6</v>
      </c>
      <c r="I2" s="8"/>
      <c r="J2" s="8" t="s">
        <v>7</v>
      </c>
    </row>
    <row r="3" ht="18" customHeight="1" spans="1:10">
      <c r="A3" s="6"/>
      <c r="B3" s="9"/>
      <c r="C3" s="9"/>
      <c r="D3" s="8"/>
      <c r="E3" s="9"/>
      <c r="F3" s="8" t="s">
        <v>8</v>
      </c>
      <c r="G3" s="8" t="s">
        <v>9</v>
      </c>
      <c r="H3" s="8" t="s">
        <v>10</v>
      </c>
      <c r="I3" s="8" t="s">
        <v>11</v>
      </c>
      <c r="J3" s="8"/>
    </row>
    <row r="4" ht="16" customHeight="1" spans="1:10">
      <c r="A4" s="10">
        <v>1</v>
      </c>
      <c r="B4" s="10" t="s">
        <v>15</v>
      </c>
      <c r="C4" s="10" t="s">
        <v>16</v>
      </c>
      <c r="D4" s="10" t="s">
        <v>14</v>
      </c>
      <c r="E4" s="10"/>
      <c r="F4" s="10">
        <v>1</v>
      </c>
      <c r="G4" s="10"/>
      <c r="H4" s="10">
        <f>I5+I14</f>
        <v>104.86</v>
      </c>
      <c r="I4" s="10">
        <f>H4*F4</f>
        <v>104.86</v>
      </c>
      <c r="J4" s="11"/>
    </row>
    <row r="5" ht="16" customHeight="1" spans="1:10">
      <c r="A5" s="11">
        <v>1.1</v>
      </c>
      <c r="B5" s="11" t="s">
        <v>41</v>
      </c>
      <c r="C5" s="11" t="s">
        <v>42</v>
      </c>
      <c r="D5" s="11" t="s">
        <v>14</v>
      </c>
      <c r="E5" s="11" t="s">
        <v>43</v>
      </c>
      <c r="F5" s="11">
        <v>2</v>
      </c>
      <c r="G5" s="11"/>
      <c r="H5" s="11">
        <f>SUM(I6:I12)</f>
        <v>8.63</v>
      </c>
      <c r="I5" s="11">
        <f>H5*F5</f>
        <v>17.26</v>
      </c>
      <c r="J5" s="11"/>
    </row>
    <row r="6" ht="16" customHeight="1" spans="1:10">
      <c r="A6" s="11" t="s">
        <v>44</v>
      </c>
      <c r="B6" s="11" t="s">
        <v>45</v>
      </c>
      <c r="C6" s="11" t="s">
        <v>46</v>
      </c>
      <c r="D6" s="11" t="s">
        <v>47</v>
      </c>
      <c r="E6" s="11" t="s">
        <v>48</v>
      </c>
      <c r="F6" s="11"/>
      <c r="G6" s="11">
        <v>1</v>
      </c>
      <c r="H6" s="11">
        <v>7.34</v>
      </c>
      <c r="I6" s="11">
        <f t="shared" ref="I6:I12" si="0">H6*G6</f>
        <v>7.34</v>
      </c>
      <c r="J6" s="11"/>
    </row>
    <row r="7" ht="16" customHeight="1" spans="1:10">
      <c r="A7" s="11" t="s">
        <v>49</v>
      </c>
      <c r="B7" s="11" t="s">
        <v>50</v>
      </c>
      <c r="C7" s="11" t="s">
        <v>51</v>
      </c>
      <c r="D7" s="11" t="s">
        <v>47</v>
      </c>
      <c r="E7" s="11" t="s">
        <v>48</v>
      </c>
      <c r="F7" s="11"/>
      <c r="G7" s="11">
        <v>1</v>
      </c>
      <c r="H7" s="11">
        <v>0.6</v>
      </c>
      <c r="I7" s="11">
        <f t="shared" si="0"/>
        <v>0.6</v>
      </c>
      <c r="J7" s="11"/>
    </row>
    <row r="8" ht="16" customHeight="1" spans="1:10">
      <c r="A8" s="11" t="s">
        <v>52</v>
      </c>
      <c r="B8" s="11" t="s">
        <v>53</v>
      </c>
      <c r="C8" s="11" t="s">
        <v>54</v>
      </c>
      <c r="D8" s="11" t="s">
        <v>55</v>
      </c>
      <c r="E8" s="11" t="s">
        <v>48</v>
      </c>
      <c r="F8" s="11"/>
      <c r="G8" s="11">
        <v>4</v>
      </c>
      <c r="H8" s="11">
        <v>0.1</v>
      </c>
      <c r="I8" s="11">
        <f t="shared" si="0"/>
        <v>0.4</v>
      </c>
      <c r="J8" s="11"/>
    </row>
    <row r="9" ht="16" customHeight="1" spans="1:10">
      <c r="A9" s="11" t="s">
        <v>56</v>
      </c>
      <c r="B9" s="11" t="s">
        <v>57</v>
      </c>
      <c r="C9" s="11" t="s">
        <v>58</v>
      </c>
      <c r="D9" s="11" t="s">
        <v>55</v>
      </c>
      <c r="E9" s="11" t="s">
        <v>48</v>
      </c>
      <c r="F9" s="11"/>
      <c r="G9" s="11">
        <v>4</v>
      </c>
      <c r="H9" s="11">
        <v>0.05</v>
      </c>
      <c r="I9" s="11">
        <f t="shared" si="0"/>
        <v>0.2</v>
      </c>
      <c r="J9" s="11"/>
    </row>
    <row r="10" ht="16" customHeight="1" spans="1:10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48</v>
      </c>
      <c r="F10" s="11"/>
      <c r="G10" s="11">
        <v>4</v>
      </c>
      <c r="H10" s="11">
        <v>0.01</v>
      </c>
      <c r="I10" s="11">
        <f t="shared" si="0"/>
        <v>0.04</v>
      </c>
      <c r="J10" s="11"/>
    </row>
    <row r="11" ht="16" customHeight="1" spans="1:10">
      <c r="A11" s="11" t="s">
        <v>63</v>
      </c>
      <c r="B11" s="11" t="s">
        <v>64</v>
      </c>
      <c r="C11" s="11" t="s">
        <v>65</v>
      </c>
      <c r="D11" s="11" t="s">
        <v>66</v>
      </c>
      <c r="E11" s="11" t="s">
        <v>48</v>
      </c>
      <c r="F11" s="11"/>
      <c r="G11" s="11">
        <v>4</v>
      </c>
      <c r="H11" s="11">
        <v>0.01</v>
      </c>
      <c r="I11" s="11">
        <f t="shared" si="0"/>
        <v>0.04</v>
      </c>
      <c r="J11" s="11"/>
    </row>
    <row r="12" ht="16" customHeight="1" spans="1:10">
      <c r="A12" s="11" t="s">
        <v>67</v>
      </c>
      <c r="B12" s="11" t="s">
        <v>68</v>
      </c>
      <c r="C12" s="11" t="s">
        <v>69</v>
      </c>
      <c r="D12" s="11" t="s">
        <v>70</v>
      </c>
      <c r="E12" s="11" t="s">
        <v>48</v>
      </c>
      <c r="F12" s="11"/>
      <c r="G12" s="11">
        <v>1</v>
      </c>
      <c r="H12" s="11">
        <v>0.01</v>
      </c>
      <c r="I12" s="11">
        <f t="shared" si="0"/>
        <v>0.01</v>
      </c>
      <c r="J12" s="11" t="s">
        <v>71</v>
      </c>
    </row>
    <row r="13" ht="16" customHeight="1" spans="1:10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ht="16" customHeight="1" spans="1:10">
      <c r="A14" s="11">
        <v>1.2</v>
      </c>
      <c r="B14" s="11" t="s">
        <v>72</v>
      </c>
      <c r="C14" s="11" t="s">
        <v>73</v>
      </c>
      <c r="D14" s="11" t="s">
        <v>74</v>
      </c>
      <c r="E14" s="11" t="s">
        <v>48</v>
      </c>
      <c r="F14" s="11">
        <v>2</v>
      </c>
      <c r="G14" s="11"/>
      <c r="H14" s="11">
        <f>SUM(I15:I17)</f>
        <v>43.8</v>
      </c>
      <c r="I14" s="11">
        <f>H14*F14</f>
        <v>87.6</v>
      </c>
      <c r="J14" s="11"/>
    </row>
    <row r="15" ht="16" customHeight="1" spans="1:10">
      <c r="A15" s="11" t="s">
        <v>75</v>
      </c>
      <c r="B15" s="11" t="s">
        <v>76</v>
      </c>
      <c r="C15" s="11" t="s">
        <v>77</v>
      </c>
      <c r="D15" s="11" t="s">
        <v>78</v>
      </c>
      <c r="E15" s="11" t="s">
        <v>48</v>
      </c>
      <c r="F15" s="11"/>
      <c r="G15" s="11">
        <v>4</v>
      </c>
      <c r="H15" s="11">
        <v>0.5</v>
      </c>
      <c r="I15" s="11">
        <f>H15*G15</f>
        <v>2</v>
      </c>
      <c r="J15" s="11" t="s">
        <v>79</v>
      </c>
    </row>
    <row r="16" ht="16" customHeight="1" spans="1:10">
      <c r="A16" s="11" t="s">
        <v>80</v>
      </c>
      <c r="B16" s="11" t="s">
        <v>81</v>
      </c>
      <c r="C16" s="11" t="s">
        <v>82</v>
      </c>
      <c r="D16" s="11" t="s">
        <v>83</v>
      </c>
      <c r="E16" s="11" t="s">
        <v>48</v>
      </c>
      <c r="F16" s="11"/>
      <c r="G16" s="11">
        <v>2</v>
      </c>
      <c r="H16" s="11">
        <v>8.5</v>
      </c>
      <c r="I16" s="11">
        <f>H16*G16</f>
        <v>17</v>
      </c>
      <c r="J16" s="11" t="s">
        <v>79</v>
      </c>
    </row>
    <row r="17" ht="16" customHeight="1" spans="1:10">
      <c r="A17" s="11" t="s">
        <v>84</v>
      </c>
      <c r="B17" s="11" t="s">
        <v>85</v>
      </c>
      <c r="C17" s="11" t="s">
        <v>86</v>
      </c>
      <c r="D17" s="11" t="s">
        <v>47</v>
      </c>
      <c r="E17" s="11" t="s">
        <v>48</v>
      </c>
      <c r="F17" s="11"/>
      <c r="G17" s="11">
        <v>4</v>
      </c>
      <c r="H17" s="11">
        <v>6.2</v>
      </c>
      <c r="I17" s="11">
        <f>H17*G17</f>
        <v>24.8</v>
      </c>
      <c r="J17" s="11"/>
    </row>
    <row r="18" ht="16" customHeight="1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ht="16" customHeight="1" spans="1:10">
      <c r="A19" s="10">
        <v>2</v>
      </c>
      <c r="B19" s="10"/>
      <c r="C19" s="10" t="s">
        <v>18</v>
      </c>
      <c r="D19" s="10" t="s">
        <v>14</v>
      </c>
      <c r="E19" s="10"/>
      <c r="F19" s="10">
        <v>1</v>
      </c>
      <c r="G19" s="10"/>
      <c r="H19" s="10" t="e">
        <f>SUM(#REF!)+I20+I27+#REF!</f>
        <v>#REF!</v>
      </c>
      <c r="I19" s="10" t="e">
        <f>H19*F19</f>
        <v>#REF!</v>
      </c>
      <c r="J19" s="11"/>
    </row>
    <row r="20" ht="16" customHeight="1" spans="1:10">
      <c r="A20" s="11">
        <v>2.1</v>
      </c>
      <c r="B20" s="11"/>
      <c r="C20" s="11"/>
      <c r="D20" s="11"/>
      <c r="E20" s="11"/>
      <c r="F20" s="11">
        <v>1</v>
      </c>
      <c r="G20" s="11"/>
      <c r="H20" s="11">
        <f>SUM(I21:I25)</f>
        <v>15.81</v>
      </c>
      <c r="I20" s="11">
        <f>H20*F20</f>
        <v>15.81</v>
      </c>
      <c r="J20" s="11"/>
    </row>
    <row r="21" ht="16" customHeight="1" spans="1:10">
      <c r="A21" s="11" t="s">
        <v>87</v>
      </c>
      <c r="B21" s="11"/>
      <c r="C21" s="11"/>
      <c r="D21" s="11"/>
      <c r="E21" s="11"/>
      <c r="F21" s="11"/>
      <c r="G21" s="11">
        <v>1</v>
      </c>
      <c r="H21" s="11">
        <v>13.22</v>
      </c>
      <c r="I21" s="11">
        <f>H21*G21</f>
        <v>13.22</v>
      </c>
      <c r="J21" s="11"/>
    </row>
    <row r="22" ht="16" customHeight="1" spans="1:10">
      <c r="A22" s="11" t="s">
        <v>88</v>
      </c>
      <c r="B22" s="11"/>
      <c r="C22" s="11"/>
      <c r="D22" s="11"/>
      <c r="E22" s="11"/>
      <c r="F22" s="11"/>
      <c r="G22" s="11">
        <v>1</v>
      </c>
      <c r="H22" s="11">
        <v>0.55</v>
      </c>
      <c r="I22" s="11">
        <f t="shared" ref="I22:I25" si="1">H22*G22</f>
        <v>0.55</v>
      </c>
      <c r="J22" s="11"/>
    </row>
    <row r="23" ht="16" customHeight="1" spans="1:10">
      <c r="A23" s="11" t="s">
        <v>89</v>
      </c>
      <c r="B23" s="11"/>
      <c r="C23" s="11"/>
      <c r="D23" s="11"/>
      <c r="E23" s="11"/>
      <c r="F23" s="11"/>
      <c r="G23" s="11">
        <v>1</v>
      </c>
      <c r="H23" s="11">
        <v>0.13</v>
      </c>
      <c r="I23" s="11">
        <f t="shared" si="1"/>
        <v>0.13</v>
      </c>
      <c r="J23" s="11"/>
    </row>
    <row r="24" ht="16" customHeight="1" spans="1:10">
      <c r="A24" s="11" t="s">
        <v>90</v>
      </c>
      <c r="B24" s="11"/>
      <c r="C24" s="11"/>
      <c r="D24" s="11"/>
      <c r="E24" s="11"/>
      <c r="F24" s="11"/>
      <c r="G24" s="11">
        <v>1</v>
      </c>
      <c r="H24" s="11">
        <v>1.89</v>
      </c>
      <c r="I24" s="11">
        <f t="shared" ref="I24" si="2">H24*G24</f>
        <v>1.89</v>
      </c>
      <c r="J24" s="11"/>
    </row>
    <row r="25" ht="16" customHeight="1" spans="1:10">
      <c r="A25" s="11" t="s">
        <v>91</v>
      </c>
      <c r="B25" s="11"/>
      <c r="C25" s="11"/>
      <c r="D25" s="11"/>
      <c r="E25" s="11"/>
      <c r="F25" s="11"/>
      <c r="G25" s="11">
        <v>2</v>
      </c>
      <c r="H25" s="11">
        <v>0.01</v>
      </c>
      <c r="I25" s="11">
        <f t="shared" si="1"/>
        <v>0.02</v>
      </c>
      <c r="J25" s="11"/>
    </row>
    <row r="26" ht="16" customHeight="1" spans="1:10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6" customHeight="1" spans="1:10">
      <c r="A27" s="11">
        <v>2.2</v>
      </c>
      <c r="B27" s="11"/>
      <c r="C27" s="11"/>
      <c r="D27" s="11"/>
      <c r="E27" s="11"/>
      <c r="F27" s="11">
        <v>6</v>
      </c>
      <c r="G27" s="11"/>
      <c r="H27" s="11">
        <f>SUM(I28:I32)</f>
        <v>0.9</v>
      </c>
      <c r="I27" s="11">
        <f>H27*F27</f>
        <v>5.4</v>
      </c>
      <c r="J27" s="11"/>
    </row>
    <row r="28" ht="16" customHeight="1" spans="1:10">
      <c r="A28" s="11" t="s">
        <v>92</v>
      </c>
      <c r="B28" s="11"/>
      <c r="C28" s="11"/>
      <c r="D28" s="11"/>
      <c r="E28" s="11"/>
      <c r="F28" s="11"/>
      <c r="G28" s="11">
        <v>1</v>
      </c>
      <c r="H28" s="11">
        <v>0.72</v>
      </c>
      <c r="I28" s="11">
        <f t="shared" ref="I28:I32" si="3">H28*G28</f>
        <v>0.72</v>
      </c>
      <c r="J28" s="11"/>
    </row>
    <row r="29" ht="16" customHeight="1" spans="1:10">
      <c r="A29" s="11" t="s">
        <v>93</v>
      </c>
      <c r="B29" s="11"/>
      <c r="C29" s="11"/>
      <c r="D29" s="11"/>
      <c r="E29" s="11"/>
      <c r="F29" s="11"/>
      <c r="G29" s="11">
        <v>1</v>
      </c>
      <c r="H29" s="11">
        <v>0.07</v>
      </c>
      <c r="I29" s="11">
        <f t="shared" si="3"/>
        <v>0.07</v>
      </c>
      <c r="J29" s="11"/>
    </row>
    <row r="30" ht="16" customHeight="1" spans="1:10">
      <c r="A30" s="11" t="s">
        <v>94</v>
      </c>
      <c r="B30" s="11"/>
      <c r="C30" s="11"/>
      <c r="D30" s="11"/>
      <c r="E30" s="11"/>
      <c r="F30" s="11"/>
      <c r="G30" s="11">
        <v>1</v>
      </c>
      <c r="H30" s="11">
        <v>0.03</v>
      </c>
      <c r="I30" s="11">
        <f t="shared" si="3"/>
        <v>0.03</v>
      </c>
      <c r="J30" s="11"/>
    </row>
    <row r="31" ht="16" customHeight="1" spans="1:10">
      <c r="A31" s="11" t="s">
        <v>95</v>
      </c>
      <c r="B31" s="11"/>
      <c r="C31" s="11"/>
      <c r="D31" s="11"/>
      <c r="E31" s="11"/>
      <c r="F31" s="11"/>
      <c r="G31" s="11">
        <v>2</v>
      </c>
      <c r="H31" s="11">
        <v>0.03</v>
      </c>
      <c r="I31" s="11">
        <f t="shared" si="3"/>
        <v>0.06</v>
      </c>
      <c r="J31" s="11"/>
    </row>
    <row r="32" ht="16" customHeight="1" spans="1:10">
      <c r="A32" s="11" t="s">
        <v>96</v>
      </c>
      <c r="B32" s="11"/>
      <c r="C32" s="11"/>
      <c r="D32" s="11"/>
      <c r="E32" s="11"/>
      <c r="F32" s="11"/>
      <c r="G32" s="11">
        <v>2</v>
      </c>
      <c r="H32" s="11">
        <v>0.01</v>
      </c>
      <c r="I32" s="11">
        <f t="shared" si="3"/>
        <v>0.02</v>
      </c>
      <c r="J32" s="11"/>
    </row>
    <row r="33" ht="16" customHeight="1" spans="1:10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6" customHeight="1" spans="1:10">
      <c r="A34" s="10">
        <v>3</v>
      </c>
      <c r="B34" s="10"/>
      <c r="C34" s="10" t="s">
        <v>97</v>
      </c>
      <c r="D34" s="10"/>
      <c r="E34" s="10"/>
      <c r="F34" s="10">
        <v>1</v>
      </c>
      <c r="G34" s="10"/>
      <c r="H34" s="10">
        <f>SUM(I35:I39)</f>
        <v>0.12</v>
      </c>
      <c r="I34" s="10">
        <f>H34*F34</f>
        <v>0.12</v>
      </c>
      <c r="J34" s="11"/>
    </row>
    <row r="35" ht="16" customHeight="1" spans="1:10">
      <c r="A35" s="11">
        <v>3.1</v>
      </c>
      <c r="B35" s="11"/>
      <c r="C35" s="11"/>
      <c r="D35" s="11"/>
      <c r="E35" s="11"/>
      <c r="F35" s="11">
        <v>2</v>
      </c>
      <c r="G35" s="11"/>
      <c r="H35" s="11">
        <v>0.01</v>
      </c>
      <c r="I35" s="11">
        <f>H35*F35</f>
        <v>0.02</v>
      </c>
      <c r="J35" s="11"/>
    </row>
    <row r="36" ht="16" customHeight="1" spans="1:10">
      <c r="A36" s="11">
        <v>3.2</v>
      </c>
      <c r="B36" s="11"/>
      <c r="C36" s="11"/>
      <c r="D36" s="11"/>
      <c r="E36" s="11"/>
      <c r="F36" s="11">
        <v>1</v>
      </c>
      <c r="G36" s="11"/>
      <c r="H36" s="11">
        <v>0.01</v>
      </c>
      <c r="I36" s="11">
        <f t="shared" ref="I36:I39" si="4">H36*F36</f>
        <v>0.01</v>
      </c>
      <c r="J36" s="11"/>
    </row>
    <row r="37" ht="16" customHeight="1" spans="1:10">
      <c r="A37" s="11">
        <v>3.3</v>
      </c>
      <c r="B37" s="11"/>
      <c r="C37" s="11"/>
      <c r="D37" s="11"/>
      <c r="E37" s="11"/>
      <c r="F37" s="11">
        <v>1</v>
      </c>
      <c r="G37" s="11"/>
      <c r="H37" s="11">
        <v>0.01</v>
      </c>
      <c r="I37" s="11">
        <f t="shared" si="4"/>
        <v>0.01</v>
      </c>
      <c r="J37" s="11"/>
    </row>
    <row r="38" ht="16" customHeight="1" spans="1:10">
      <c r="A38" s="11">
        <v>3.4</v>
      </c>
      <c r="B38" s="11"/>
      <c r="C38" s="11"/>
      <c r="D38" s="11"/>
      <c r="E38" s="11"/>
      <c r="F38" s="11">
        <v>2</v>
      </c>
      <c r="G38" s="11"/>
      <c r="H38" s="11">
        <v>0.01</v>
      </c>
      <c r="I38" s="11">
        <f t="shared" si="4"/>
        <v>0.02</v>
      </c>
      <c r="J38" s="11"/>
    </row>
    <row r="39" ht="16" customHeight="1" spans="1:10">
      <c r="A39" s="11">
        <v>3.5</v>
      </c>
      <c r="B39" s="11"/>
      <c r="C39" s="12"/>
      <c r="D39" s="12"/>
      <c r="E39" s="12"/>
      <c r="F39" s="11">
        <v>6</v>
      </c>
      <c r="G39" s="11"/>
      <c r="H39" s="11">
        <v>0.01</v>
      </c>
      <c r="I39" s="11">
        <f t="shared" si="4"/>
        <v>0.06</v>
      </c>
      <c r="J39" s="11"/>
    </row>
    <row r="40" ht="16" customHeight="1" spans="1:1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29" customHeight="1" spans="1:10">
      <c r="A41" s="13" t="s">
        <v>35</v>
      </c>
      <c r="B41" s="14"/>
      <c r="C41" s="14" t="s">
        <v>36</v>
      </c>
      <c r="D41" s="14" t="s">
        <v>37</v>
      </c>
      <c r="E41" s="14"/>
      <c r="F41" s="14"/>
      <c r="G41" s="14"/>
      <c r="H41" s="14" t="s">
        <v>38</v>
      </c>
      <c r="I41" s="14"/>
      <c r="J41" s="15"/>
    </row>
  </sheetData>
  <mergeCells count="12">
    <mergeCell ref="A1:J1"/>
    <mergeCell ref="F2:G2"/>
    <mergeCell ref="H2:I2"/>
    <mergeCell ref="A41:B41"/>
    <mergeCell ref="D41:G41"/>
    <mergeCell ref="H41:J41"/>
    <mergeCell ref="A2:A3"/>
    <mergeCell ref="B2:B3"/>
    <mergeCell ref="C2:C3"/>
    <mergeCell ref="D2:D3"/>
    <mergeCell ref="E2:E3"/>
    <mergeCell ref="J2:J3"/>
  </mergeCells>
  <printOptions horizontalCentered="1"/>
  <pageMargins left="0.118110236220472" right="0.118110236220472" top="0.15748031496063" bottom="0.15748031496063" header="0.31496062992126" footer="0.31496062992126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N26" sqref="N26"/>
    </sheetView>
  </sheetViews>
  <sheetFormatPr defaultColWidth="9" defaultRowHeight="13.5"/>
  <cols>
    <col min="1" max="1" width="6.45" style="1" customWidth="1"/>
    <col min="2" max="2" width="19.75" style="2" customWidth="1"/>
    <col min="3" max="3" width="28.375" style="2" customWidth="1"/>
    <col min="4" max="4" width="19.5" style="2" customWidth="1"/>
    <col min="5" max="5" width="4.625" style="2" customWidth="1"/>
    <col min="6" max="6" width="5.45" style="2" customWidth="1"/>
    <col min="7" max="7" width="6.26666666666667" style="2" customWidth="1"/>
    <col min="8" max="8" width="6.63333333333333" style="2" customWidth="1"/>
    <col min="9" max="9" width="5.45" style="2" customWidth="1"/>
    <col min="10" max="10" width="26.725" style="2" customWidth="1"/>
    <col min="11" max="16384" width="9" style="2"/>
  </cols>
  <sheetData>
    <row r="1" ht="30" customHeight="1" spans="1:10">
      <c r="A1" s="3" t="s">
        <v>98</v>
      </c>
      <c r="B1" s="4"/>
      <c r="C1" s="4"/>
      <c r="D1" s="4"/>
      <c r="E1" s="4"/>
      <c r="F1" s="4"/>
      <c r="G1" s="4"/>
      <c r="H1" s="4"/>
      <c r="I1" s="4"/>
      <c r="J1" s="5"/>
    </row>
    <row r="2" ht="18" customHeight="1" spans="1:10">
      <c r="A2" s="6" t="s">
        <v>1</v>
      </c>
      <c r="B2" s="7" t="s">
        <v>2</v>
      </c>
      <c r="C2" s="7" t="s">
        <v>3</v>
      </c>
      <c r="D2" s="8" t="s">
        <v>4</v>
      </c>
      <c r="E2" s="7" t="s">
        <v>40</v>
      </c>
      <c r="F2" s="8" t="s">
        <v>5</v>
      </c>
      <c r="G2" s="8"/>
      <c r="H2" s="8" t="s">
        <v>6</v>
      </c>
      <c r="I2" s="8"/>
      <c r="J2" s="8" t="s">
        <v>7</v>
      </c>
    </row>
    <row r="3" ht="18" customHeight="1" spans="1:10">
      <c r="A3" s="6"/>
      <c r="B3" s="9"/>
      <c r="C3" s="9"/>
      <c r="D3" s="8"/>
      <c r="E3" s="9"/>
      <c r="F3" s="8" t="s">
        <v>8</v>
      </c>
      <c r="G3" s="8" t="s">
        <v>9</v>
      </c>
      <c r="H3" s="8" t="s">
        <v>10</v>
      </c>
      <c r="I3" s="8" t="s">
        <v>11</v>
      </c>
      <c r="J3" s="8"/>
    </row>
    <row r="4" ht="16" customHeight="1" spans="1:10">
      <c r="A4" s="10">
        <v>1</v>
      </c>
      <c r="B4" s="10" t="s">
        <v>15</v>
      </c>
      <c r="C4" s="10" t="s">
        <v>16</v>
      </c>
      <c r="D4" s="10" t="s">
        <v>14</v>
      </c>
      <c r="E4" s="10"/>
      <c r="F4" s="10">
        <v>1</v>
      </c>
      <c r="G4" s="10"/>
      <c r="H4" s="10">
        <f>I5+I15</f>
        <v>109.86</v>
      </c>
      <c r="I4" s="10">
        <f>H4*F4</f>
        <v>109.86</v>
      </c>
      <c r="J4" s="11"/>
    </row>
    <row r="5" ht="16" customHeight="1" spans="1:10">
      <c r="A5" s="11">
        <v>1.1</v>
      </c>
      <c r="B5" s="11" t="s">
        <v>41</v>
      </c>
      <c r="C5" s="11" t="s">
        <v>42</v>
      </c>
      <c r="D5" s="11" t="s">
        <v>14</v>
      </c>
      <c r="E5" s="11" t="s">
        <v>43</v>
      </c>
      <c r="F5" s="11">
        <v>2</v>
      </c>
      <c r="G5" s="11"/>
      <c r="H5" s="11">
        <f>SUM(I6:I13)</f>
        <v>11.13</v>
      </c>
      <c r="I5" s="11">
        <f>H5*F5</f>
        <v>22.26</v>
      </c>
      <c r="J5" s="11"/>
    </row>
    <row r="6" ht="16" customHeight="1" spans="1:10">
      <c r="A6" s="11" t="s">
        <v>44</v>
      </c>
      <c r="B6" s="11" t="s">
        <v>45</v>
      </c>
      <c r="C6" s="11" t="s">
        <v>46</v>
      </c>
      <c r="D6" s="11" t="s">
        <v>47</v>
      </c>
      <c r="E6" s="11" t="s">
        <v>48</v>
      </c>
      <c r="F6" s="11"/>
      <c r="G6" s="11">
        <v>1</v>
      </c>
      <c r="H6" s="11">
        <v>7.34</v>
      </c>
      <c r="I6" s="11">
        <f t="shared" ref="I6:I13" si="0">H6*G6</f>
        <v>7.34</v>
      </c>
      <c r="J6" s="11"/>
    </row>
    <row r="7" ht="16" customHeight="1" spans="1:10">
      <c r="A7" s="11" t="s">
        <v>49</v>
      </c>
      <c r="B7" s="11" t="s">
        <v>50</v>
      </c>
      <c r="C7" s="11" t="s">
        <v>51</v>
      </c>
      <c r="D7" s="11" t="s">
        <v>47</v>
      </c>
      <c r="E7" s="11" t="s">
        <v>48</v>
      </c>
      <c r="F7" s="11"/>
      <c r="G7" s="11">
        <v>1</v>
      </c>
      <c r="H7" s="11">
        <v>0.6</v>
      </c>
      <c r="I7" s="11">
        <f t="shared" si="0"/>
        <v>0.6</v>
      </c>
      <c r="J7" s="11"/>
    </row>
    <row r="8" ht="16" customHeight="1" spans="1:10">
      <c r="A8" s="11" t="s">
        <v>52</v>
      </c>
      <c r="B8" s="11" t="s">
        <v>53</v>
      </c>
      <c r="C8" s="11" t="s">
        <v>54</v>
      </c>
      <c r="D8" s="11" t="s">
        <v>55</v>
      </c>
      <c r="E8" s="11" t="s">
        <v>48</v>
      </c>
      <c r="F8" s="11"/>
      <c r="G8" s="11">
        <v>4</v>
      </c>
      <c r="H8" s="11">
        <v>0.1</v>
      </c>
      <c r="I8" s="11">
        <f t="shared" si="0"/>
        <v>0.4</v>
      </c>
      <c r="J8" s="11"/>
    </row>
    <row r="9" ht="16" customHeight="1" spans="1:10">
      <c r="A9" s="11" t="s">
        <v>56</v>
      </c>
      <c r="B9" s="11" t="s">
        <v>57</v>
      </c>
      <c r="C9" s="11" t="s">
        <v>58</v>
      </c>
      <c r="D9" s="11" t="s">
        <v>55</v>
      </c>
      <c r="E9" s="11" t="s">
        <v>48</v>
      </c>
      <c r="F9" s="11"/>
      <c r="G9" s="11">
        <v>4</v>
      </c>
      <c r="H9" s="11">
        <v>0.05</v>
      </c>
      <c r="I9" s="11">
        <f t="shared" si="0"/>
        <v>0.2</v>
      </c>
      <c r="J9" s="11"/>
    </row>
    <row r="10" ht="16" customHeight="1" spans="1:10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48</v>
      </c>
      <c r="F10" s="11"/>
      <c r="G10" s="11">
        <v>4</v>
      </c>
      <c r="H10" s="11">
        <v>0.01</v>
      </c>
      <c r="I10" s="11">
        <f t="shared" si="0"/>
        <v>0.04</v>
      </c>
      <c r="J10" s="11"/>
    </row>
    <row r="11" ht="16" customHeight="1" spans="1:10">
      <c r="A11" s="11" t="s">
        <v>63</v>
      </c>
      <c r="B11" s="11" t="s">
        <v>64</v>
      </c>
      <c r="C11" s="11" t="s">
        <v>65</v>
      </c>
      <c r="D11" s="11" t="s">
        <v>66</v>
      </c>
      <c r="E11" s="11" t="s">
        <v>48</v>
      </c>
      <c r="F11" s="11"/>
      <c r="G11" s="11">
        <v>4</v>
      </c>
      <c r="H11" s="11">
        <v>0.01</v>
      </c>
      <c r="I11" s="11">
        <f t="shared" si="0"/>
        <v>0.04</v>
      </c>
      <c r="J11" s="11"/>
    </row>
    <row r="12" ht="16" customHeight="1" spans="1:10">
      <c r="A12" s="11" t="s">
        <v>67</v>
      </c>
      <c r="B12" s="11" t="s">
        <v>99</v>
      </c>
      <c r="C12" s="11" t="s">
        <v>100</v>
      </c>
      <c r="D12" s="11" t="s">
        <v>70</v>
      </c>
      <c r="E12" s="11" t="s">
        <v>101</v>
      </c>
      <c r="F12" s="11"/>
      <c r="G12" s="11">
        <v>1</v>
      </c>
      <c r="H12" s="11">
        <v>2.5</v>
      </c>
      <c r="I12" s="11">
        <f t="shared" si="0"/>
        <v>2.5</v>
      </c>
      <c r="J12" s="11"/>
    </row>
    <row r="13" ht="16" customHeight="1" spans="1:10">
      <c r="A13" s="11" t="s">
        <v>102</v>
      </c>
      <c r="B13" s="11" t="s">
        <v>68</v>
      </c>
      <c r="C13" s="11" t="s">
        <v>69</v>
      </c>
      <c r="D13" s="11" t="s">
        <v>70</v>
      </c>
      <c r="E13" s="11" t="s">
        <v>48</v>
      </c>
      <c r="F13" s="11"/>
      <c r="G13" s="11">
        <v>1</v>
      </c>
      <c r="H13" s="11">
        <v>0.01</v>
      </c>
      <c r="I13" s="11">
        <f t="shared" si="0"/>
        <v>0.01</v>
      </c>
      <c r="J13" s="11" t="s">
        <v>71</v>
      </c>
    </row>
    <row r="14" ht="16" customHeight="1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ht="16" customHeight="1" spans="1:10">
      <c r="A15" s="11">
        <v>1.2</v>
      </c>
      <c r="B15" s="11" t="s">
        <v>72</v>
      </c>
      <c r="C15" s="11" t="s">
        <v>73</v>
      </c>
      <c r="D15" s="11" t="s">
        <v>74</v>
      </c>
      <c r="E15" s="11" t="s">
        <v>48</v>
      </c>
      <c r="F15" s="11">
        <v>2</v>
      </c>
      <c r="G15" s="11"/>
      <c r="H15" s="11">
        <f>SUM(I16:I18)</f>
        <v>43.8</v>
      </c>
      <c r="I15" s="11">
        <f>H15*F15</f>
        <v>87.6</v>
      </c>
      <c r="J15" s="11"/>
    </row>
    <row r="16" ht="16" customHeight="1" spans="1:10">
      <c r="A16" s="11" t="s">
        <v>75</v>
      </c>
      <c r="B16" s="11" t="s">
        <v>76</v>
      </c>
      <c r="C16" s="11" t="s">
        <v>77</v>
      </c>
      <c r="D16" s="11" t="s">
        <v>78</v>
      </c>
      <c r="E16" s="11" t="s">
        <v>48</v>
      </c>
      <c r="F16" s="11"/>
      <c r="G16" s="11">
        <v>4</v>
      </c>
      <c r="H16" s="11">
        <v>0.5</v>
      </c>
      <c r="I16" s="11">
        <f t="shared" ref="I16:I18" si="1">H16*G16</f>
        <v>2</v>
      </c>
      <c r="J16" s="11" t="s">
        <v>79</v>
      </c>
    </row>
    <row r="17" ht="16" customHeight="1" spans="1:10">
      <c r="A17" s="11" t="s">
        <v>80</v>
      </c>
      <c r="B17" s="11" t="s">
        <v>81</v>
      </c>
      <c r="C17" s="11" t="s">
        <v>82</v>
      </c>
      <c r="D17" s="11" t="s">
        <v>83</v>
      </c>
      <c r="E17" s="11" t="s">
        <v>48</v>
      </c>
      <c r="F17" s="11"/>
      <c r="G17" s="11">
        <v>2</v>
      </c>
      <c r="H17" s="11">
        <v>8.5</v>
      </c>
      <c r="I17" s="11">
        <f t="shared" si="1"/>
        <v>17</v>
      </c>
      <c r="J17" s="11" t="s">
        <v>79</v>
      </c>
    </row>
    <row r="18" ht="16" customHeight="1" spans="1:10">
      <c r="A18" s="11" t="s">
        <v>84</v>
      </c>
      <c r="B18" s="11" t="s">
        <v>85</v>
      </c>
      <c r="C18" s="11" t="s">
        <v>86</v>
      </c>
      <c r="D18" s="11" t="s">
        <v>47</v>
      </c>
      <c r="E18" s="11" t="s">
        <v>48</v>
      </c>
      <c r="F18" s="11"/>
      <c r="G18" s="11">
        <v>4</v>
      </c>
      <c r="H18" s="11">
        <v>6.2</v>
      </c>
      <c r="I18" s="11">
        <f t="shared" si="1"/>
        <v>24.8</v>
      </c>
      <c r="J18" s="11"/>
    </row>
    <row r="19" ht="16" customHeight="1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ht="16" customHeight="1" spans="1:10">
      <c r="A20" s="10">
        <v>2</v>
      </c>
      <c r="B20" s="10"/>
      <c r="C20" s="10" t="s">
        <v>18</v>
      </c>
      <c r="D20" s="10" t="s">
        <v>14</v>
      </c>
      <c r="E20" s="10"/>
      <c r="F20" s="10">
        <v>1</v>
      </c>
      <c r="G20" s="10"/>
      <c r="H20" s="10">
        <f>SUM(I21:I26)</f>
        <v>31.62</v>
      </c>
      <c r="I20" s="10">
        <f>H20*F20</f>
        <v>31.62</v>
      </c>
      <c r="J20" s="11"/>
    </row>
    <row r="21" ht="16" customHeight="1" spans="1:10">
      <c r="A21" s="11">
        <v>2.1</v>
      </c>
      <c r="B21" s="11"/>
      <c r="C21" s="11"/>
      <c r="D21" s="11"/>
      <c r="E21" s="11"/>
      <c r="F21" s="11">
        <v>1</v>
      </c>
      <c r="G21" s="11"/>
      <c r="H21" s="11">
        <f>SUM(I22:I26)</f>
        <v>15.81</v>
      </c>
      <c r="I21" s="11">
        <f>H21*F21</f>
        <v>15.81</v>
      </c>
      <c r="J21" s="11"/>
    </row>
    <row r="22" ht="16" customHeight="1" spans="1:10">
      <c r="A22" s="11" t="s">
        <v>87</v>
      </c>
      <c r="B22" s="11"/>
      <c r="C22" s="11"/>
      <c r="D22" s="11"/>
      <c r="E22" s="11"/>
      <c r="F22" s="11"/>
      <c r="G22" s="11">
        <v>1</v>
      </c>
      <c r="H22" s="11">
        <v>13.22</v>
      </c>
      <c r="I22" s="11">
        <f t="shared" ref="I22:I26" si="2">H22*G22</f>
        <v>13.22</v>
      </c>
      <c r="J22" s="11"/>
    </row>
    <row r="23" ht="16" customHeight="1" spans="1:10">
      <c r="A23" s="11" t="s">
        <v>88</v>
      </c>
      <c r="B23" s="11"/>
      <c r="C23" s="11"/>
      <c r="D23" s="11"/>
      <c r="E23" s="11"/>
      <c r="F23" s="11"/>
      <c r="G23" s="11">
        <v>1</v>
      </c>
      <c r="H23" s="11">
        <v>0.55</v>
      </c>
      <c r="I23" s="11">
        <f t="shared" si="2"/>
        <v>0.55</v>
      </c>
      <c r="J23" s="11"/>
    </row>
    <row r="24" ht="16" customHeight="1" spans="1:10">
      <c r="A24" s="11" t="s">
        <v>89</v>
      </c>
      <c r="B24" s="11"/>
      <c r="C24" s="11"/>
      <c r="D24" s="11"/>
      <c r="E24" s="11"/>
      <c r="F24" s="11"/>
      <c r="G24" s="11">
        <v>1</v>
      </c>
      <c r="H24" s="11">
        <v>0.13</v>
      </c>
      <c r="I24" s="11">
        <f t="shared" si="2"/>
        <v>0.13</v>
      </c>
      <c r="J24" s="11"/>
    </row>
    <row r="25" ht="16" customHeight="1" spans="1:10">
      <c r="A25" s="11" t="s">
        <v>90</v>
      </c>
      <c r="B25" s="11"/>
      <c r="C25" s="11"/>
      <c r="D25" s="11"/>
      <c r="E25" s="11"/>
      <c r="F25" s="11"/>
      <c r="G25" s="11">
        <v>1</v>
      </c>
      <c r="H25" s="11">
        <v>1.89</v>
      </c>
      <c r="I25" s="11">
        <f t="shared" si="2"/>
        <v>1.89</v>
      </c>
      <c r="J25" s="11"/>
    </row>
    <row r="26" ht="16" customHeight="1" spans="1:10">
      <c r="A26" s="11" t="s">
        <v>91</v>
      </c>
      <c r="B26" s="11"/>
      <c r="C26" s="11"/>
      <c r="D26" s="11"/>
      <c r="E26" s="11"/>
      <c r="F26" s="11"/>
      <c r="G26" s="11">
        <v>2</v>
      </c>
      <c r="H26" s="11">
        <v>0.01</v>
      </c>
      <c r="I26" s="11">
        <f t="shared" si="2"/>
        <v>0.02</v>
      </c>
      <c r="J26" s="11"/>
    </row>
    <row r="27" ht="16" customHeight="1" spans="1:10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16" customHeight="1" spans="1:10">
      <c r="A28" s="11">
        <v>2.2</v>
      </c>
      <c r="B28" s="11"/>
      <c r="C28" s="11"/>
      <c r="D28" s="11"/>
      <c r="E28" s="11"/>
      <c r="F28" s="11">
        <v>6</v>
      </c>
      <c r="G28" s="11"/>
      <c r="H28" s="11">
        <f>SUM(I29:I33)</f>
        <v>0.9</v>
      </c>
      <c r="I28" s="11">
        <f>H28*F28</f>
        <v>5.4</v>
      </c>
      <c r="J28" s="11"/>
    </row>
    <row r="29" ht="16" customHeight="1" spans="1:10">
      <c r="A29" s="11" t="s">
        <v>92</v>
      </c>
      <c r="B29" s="11"/>
      <c r="C29" s="11"/>
      <c r="D29" s="11"/>
      <c r="E29" s="11"/>
      <c r="F29" s="11"/>
      <c r="G29" s="11">
        <v>1</v>
      </c>
      <c r="H29" s="11">
        <v>0.72</v>
      </c>
      <c r="I29" s="11">
        <f t="shared" ref="I29:I33" si="3">H29*G29</f>
        <v>0.72</v>
      </c>
      <c r="J29" s="11"/>
    </row>
    <row r="30" ht="16" customHeight="1" spans="1:10">
      <c r="A30" s="11" t="s">
        <v>93</v>
      </c>
      <c r="B30" s="11"/>
      <c r="C30" s="11"/>
      <c r="D30" s="11"/>
      <c r="E30" s="11"/>
      <c r="F30" s="11"/>
      <c r="G30" s="11">
        <v>1</v>
      </c>
      <c r="H30" s="11">
        <v>0.07</v>
      </c>
      <c r="I30" s="11">
        <f t="shared" si="3"/>
        <v>0.07</v>
      </c>
      <c r="J30" s="11"/>
    </row>
    <row r="31" ht="16" customHeight="1" spans="1:10">
      <c r="A31" s="11" t="s">
        <v>94</v>
      </c>
      <c r="B31" s="11"/>
      <c r="C31" s="11"/>
      <c r="D31" s="11"/>
      <c r="E31" s="11"/>
      <c r="F31" s="11"/>
      <c r="G31" s="11">
        <v>1</v>
      </c>
      <c r="H31" s="11">
        <v>0.03</v>
      </c>
      <c r="I31" s="11">
        <f t="shared" si="3"/>
        <v>0.03</v>
      </c>
      <c r="J31" s="11"/>
    </row>
    <row r="32" ht="16" customHeight="1" spans="1:10">
      <c r="A32" s="11" t="s">
        <v>95</v>
      </c>
      <c r="B32" s="11"/>
      <c r="C32" s="11"/>
      <c r="D32" s="11"/>
      <c r="E32" s="11"/>
      <c r="F32" s="11"/>
      <c r="G32" s="11">
        <v>2</v>
      </c>
      <c r="H32" s="11">
        <v>0.03</v>
      </c>
      <c r="I32" s="11">
        <f t="shared" si="3"/>
        <v>0.06</v>
      </c>
      <c r="J32" s="11"/>
    </row>
    <row r="33" ht="16" customHeight="1" spans="1:10">
      <c r="A33" s="11" t="s">
        <v>96</v>
      </c>
      <c r="B33" s="11"/>
      <c r="C33" s="11"/>
      <c r="D33" s="11"/>
      <c r="E33" s="11"/>
      <c r="F33" s="11"/>
      <c r="G33" s="11">
        <v>2</v>
      </c>
      <c r="H33" s="11">
        <v>0.01</v>
      </c>
      <c r="I33" s="11">
        <f t="shared" si="3"/>
        <v>0.02</v>
      </c>
      <c r="J33" s="11"/>
    </row>
    <row r="34" ht="16" customHeight="1" spans="1:10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ht="16" customHeight="1" spans="1:10">
      <c r="A35" s="10">
        <v>3</v>
      </c>
      <c r="B35" s="10"/>
      <c r="C35" s="10" t="s">
        <v>97</v>
      </c>
      <c r="D35" s="10"/>
      <c r="E35" s="10"/>
      <c r="F35" s="10">
        <v>1</v>
      </c>
      <c r="G35" s="10"/>
      <c r="H35" s="10">
        <f>SUM(I36:I40)</f>
        <v>0.12</v>
      </c>
      <c r="I35" s="10">
        <f t="shared" ref="I35:I40" si="4">H35*F35</f>
        <v>0.12</v>
      </c>
      <c r="J35" s="11"/>
    </row>
    <row r="36" ht="16" customHeight="1" spans="1:10">
      <c r="A36" s="11">
        <v>3.1</v>
      </c>
      <c r="B36" s="11"/>
      <c r="C36" s="11"/>
      <c r="D36" s="11"/>
      <c r="E36" s="11"/>
      <c r="F36" s="11">
        <v>2</v>
      </c>
      <c r="G36" s="11"/>
      <c r="H36" s="11">
        <v>0.01</v>
      </c>
      <c r="I36" s="11">
        <f t="shared" si="4"/>
        <v>0.02</v>
      </c>
      <c r="J36" s="11"/>
    </row>
    <row r="37" ht="16" customHeight="1" spans="1:10">
      <c r="A37" s="11">
        <v>3.2</v>
      </c>
      <c r="B37" s="11"/>
      <c r="C37" s="11"/>
      <c r="D37" s="11"/>
      <c r="E37" s="11"/>
      <c r="F37" s="11">
        <v>1</v>
      </c>
      <c r="G37" s="11"/>
      <c r="H37" s="11">
        <v>0.01</v>
      </c>
      <c r="I37" s="11">
        <f t="shared" si="4"/>
        <v>0.01</v>
      </c>
      <c r="J37" s="11"/>
    </row>
    <row r="38" ht="16" customHeight="1" spans="1:10">
      <c r="A38" s="11">
        <v>3.3</v>
      </c>
      <c r="B38" s="11"/>
      <c r="C38" s="11"/>
      <c r="D38" s="11"/>
      <c r="E38" s="11"/>
      <c r="F38" s="11">
        <v>1</v>
      </c>
      <c r="G38" s="11"/>
      <c r="H38" s="11">
        <v>0.01</v>
      </c>
      <c r="I38" s="11">
        <f t="shared" si="4"/>
        <v>0.01</v>
      </c>
      <c r="J38" s="11"/>
    </row>
    <row r="39" ht="16" customHeight="1" spans="1:10">
      <c r="A39" s="11">
        <v>3.4</v>
      </c>
      <c r="B39" s="11"/>
      <c r="C39" s="11"/>
      <c r="D39" s="11"/>
      <c r="E39" s="11"/>
      <c r="F39" s="11">
        <v>2</v>
      </c>
      <c r="G39" s="11"/>
      <c r="H39" s="11">
        <v>0.01</v>
      </c>
      <c r="I39" s="11">
        <f t="shared" si="4"/>
        <v>0.02</v>
      </c>
      <c r="J39" s="11"/>
    </row>
    <row r="40" ht="16" customHeight="1" spans="1:10">
      <c r="A40" s="11">
        <v>3.5</v>
      </c>
      <c r="B40" s="11"/>
      <c r="C40" s="12"/>
      <c r="D40" s="12"/>
      <c r="E40" s="12"/>
      <c r="F40" s="11">
        <v>6</v>
      </c>
      <c r="G40" s="11"/>
      <c r="H40" s="11">
        <v>0.01</v>
      </c>
      <c r="I40" s="11">
        <f t="shared" si="4"/>
        <v>0.06</v>
      </c>
      <c r="J40" s="11"/>
    </row>
    <row r="41" ht="16" customHeight="1" spans="1:10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29" customHeight="1" spans="1:10">
      <c r="A42" s="13" t="s">
        <v>35</v>
      </c>
      <c r="B42" s="14"/>
      <c r="C42" s="14" t="s">
        <v>36</v>
      </c>
      <c r="D42" s="14" t="s">
        <v>37</v>
      </c>
      <c r="E42" s="14"/>
      <c r="F42" s="14"/>
      <c r="G42" s="14"/>
      <c r="H42" s="14" t="s">
        <v>38</v>
      </c>
      <c r="I42" s="14"/>
      <c r="J42" s="15"/>
    </row>
  </sheetData>
  <mergeCells count="12">
    <mergeCell ref="A1:J1"/>
    <mergeCell ref="F2:G2"/>
    <mergeCell ref="H2:I2"/>
    <mergeCell ref="A42:B42"/>
    <mergeCell ref="D42:G42"/>
    <mergeCell ref="H42:J42"/>
    <mergeCell ref="A2:A3"/>
    <mergeCell ref="B2:B3"/>
    <mergeCell ref="C2:C3"/>
    <mergeCell ref="D2:D3"/>
    <mergeCell ref="E2:E3"/>
    <mergeCell ref="J2:J3"/>
  </mergeCells>
  <printOptions horizontalCentered="1"/>
  <pageMargins left="0.118110236220472" right="0.118110236220472" top="0.15748031496063" bottom="0.15748031496063" header="0.31496062992126" footer="0.31496062992126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组成总表</vt:lpstr>
      <vt:lpstr>结构零部件清单</vt:lpstr>
      <vt:lpstr>电气零部件清单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易敏</cp:lastModifiedBy>
  <dcterms:created xsi:type="dcterms:W3CDTF">2006-09-13T11:21:00Z</dcterms:created>
  <dcterms:modified xsi:type="dcterms:W3CDTF">2026-03-30T01:17:31Z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198CC44F4D0944A4BAF7071A0B1688FF_12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